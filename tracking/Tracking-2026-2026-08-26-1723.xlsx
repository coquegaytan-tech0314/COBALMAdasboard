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ropbox\CONTENEDORES\2026\"/>
    </mc:Choice>
  </mc:AlternateContent>
  <xr:revisionPtr revIDLastSave="0" documentId="13_ncr:1_{3D3E0CC7-78A7-447A-9436-0CC0B161CB0B}" xr6:coauthVersionLast="47" xr6:coauthVersionMax="47" xr10:uidLastSave="{00000000-0000-0000-0000-000000000000}"/>
  <bookViews>
    <workbookView xWindow="165" yWindow="30" windowWidth="23835" windowHeight="12750" xr2:uid="{9F0207CD-BA63-425F-8019-9FE4F39BE4AB}"/>
  </bookViews>
  <sheets>
    <sheet name="2026" sheetId="1" r:id="rId1"/>
    <sheet name="Hoja1" sheetId="4" r:id="rId2"/>
    <sheet name="Cuenta aduanera" sheetId="2" r:id="rId3"/>
    <sheet name="Cuentas de gastos" sheetId="3" r:id="rId4"/>
  </sheets>
  <definedNames>
    <definedName name="_xlnm._FilterDatabase" localSheetId="0" hidden="1">'2026'!$A$1:$Q$1</definedName>
    <definedName name="_xlnm._FilterDatabase" localSheetId="3" hidden="1">'Cuentas de gastos'!$A$2:$H$48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6" i="1" l="1"/>
  <c r="H144" i="1"/>
  <c r="I144" i="1"/>
  <c r="H103" i="1"/>
  <c r="K7" i="4"/>
  <c r="J158" i="1"/>
  <c r="I158" i="1"/>
  <c r="F160" i="1"/>
  <c r="F159" i="1"/>
  <c r="F158" i="1"/>
  <c r="H25" i="1"/>
  <c r="H93" i="1"/>
  <c r="K81" i="1"/>
  <c r="H95" i="1"/>
  <c r="K98" i="1" l="1"/>
  <c r="K119" i="1"/>
  <c r="K109" i="1"/>
  <c r="K106" i="1"/>
  <c r="H119" i="1"/>
  <c r="K95" i="1"/>
  <c r="H98" i="1"/>
  <c r="H11" i="4"/>
  <c r="F11" i="4"/>
  <c r="I11" i="4" s="1"/>
  <c r="J11" i="4" s="1"/>
  <c r="F10" i="4"/>
  <c r="I10" i="4" s="1"/>
  <c r="J10" i="4" s="1"/>
  <c r="F9" i="4"/>
  <c r="I9" i="4" s="1"/>
  <c r="J9" i="4" s="1"/>
  <c r="F8" i="4"/>
  <c r="I8" i="4" s="1"/>
  <c r="J8" i="4" s="1"/>
  <c r="F7" i="4"/>
  <c r="I7" i="4" s="1"/>
  <c r="J7" i="4" s="1"/>
  <c r="H141" i="1"/>
  <c r="K114" i="1"/>
  <c r="K125" i="1"/>
  <c r="H23" i="1"/>
  <c r="K25" i="1"/>
  <c r="F112" i="1"/>
  <c r="I112" i="1" s="1"/>
  <c r="J112" i="1" s="1"/>
  <c r="F109" i="1"/>
  <c r="I109" i="1" s="1"/>
  <c r="J109" i="1" s="1"/>
  <c r="F106" i="1"/>
  <c r="I106" i="1" s="1"/>
  <c r="J106" i="1" s="1"/>
  <c r="K103" i="1"/>
  <c r="F127" i="1"/>
  <c r="F126" i="1"/>
  <c r="F125" i="1"/>
  <c r="F128" i="1" s="1"/>
  <c r="I125" i="1" s="1"/>
  <c r="I119" i="1" l="1"/>
  <c r="J119" i="1" s="1"/>
  <c r="F121" i="1"/>
  <c r="F120" i="1"/>
  <c r="F119" i="1"/>
  <c r="F156" i="1"/>
  <c r="I156" i="1" s="1"/>
  <c r="J156" i="1" s="1"/>
  <c r="I114" i="1"/>
  <c r="J114" i="1" s="1"/>
  <c r="F116" i="1"/>
  <c r="F115" i="1"/>
  <c r="F114" i="1"/>
  <c r="H150" i="1"/>
  <c r="H139" i="1"/>
  <c r="H21" i="1"/>
  <c r="F154" i="1"/>
  <c r="I154" i="1" s="1"/>
  <c r="J154" i="1" s="1"/>
  <c r="F152" i="1"/>
  <c r="I152" i="1" s="1"/>
  <c r="J152" i="1" s="1"/>
  <c r="F150" i="1"/>
  <c r="F148" i="1"/>
  <c r="I148" i="1" s="1"/>
  <c r="J148" i="1" s="1"/>
  <c r="F146" i="1"/>
  <c r="J146" i="1" s="1"/>
  <c r="F144" i="1"/>
  <c r="J144" i="1" s="1"/>
  <c r="F141" i="1"/>
  <c r="F139" i="1"/>
  <c r="H84" i="1"/>
  <c r="F103" i="1"/>
  <c r="I103" i="1" s="1"/>
  <c r="J103" i="1" s="1"/>
  <c r="F136" i="1"/>
  <c r="F135" i="1"/>
  <c r="F134" i="1"/>
  <c r="F133" i="1"/>
  <c r="F132" i="1"/>
  <c r="F131" i="1"/>
  <c r="K70" i="1"/>
  <c r="K23" i="1"/>
  <c r="K84" i="1"/>
  <c r="H70" i="1"/>
  <c r="H65" i="1"/>
  <c r="K78" i="1"/>
  <c r="K65" i="1"/>
  <c r="K21" i="1"/>
  <c r="K76" i="1"/>
  <c r="H78" i="1"/>
  <c r="I139" i="1" l="1"/>
  <c r="J139" i="1" s="1"/>
  <c r="I141" i="1"/>
  <c r="J141" i="1" s="1"/>
  <c r="I150" i="1"/>
  <c r="J150" i="1" s="1"/>
  <c r="F137" i="1"/>
  <c r="I131" i="1" s="1"/>
  <c r="J131" i="1" s="1"/>
  <c r="H60" i="1"/>
  <c r="H76" i="1"/>
  <c r="H18" i="1"/>
  <c r="K60" i="1"/>
  <c r="K57" i="1"/>
  <c r="H57" i="1"/>
  <c r="H41" i="1"/>
  <c r="F99" i="1"/>
  <c r="F98" i="1"/>
  <c r="H55" i="1"/>
  <c r="F95" i="1"/>
  <c r="I95" i="1" s="1"/>
  <c r="J95" i="1" s="1"/>
  <c r="F93" i="1"/>
  <c r="I93" i="1" s="1"/>
  <c r="J93" i="1" s="1"/>
  <c r="F90" i="1"/>
  <c r="I90" i="1" s="1"/>
  <c r="J90" i="1" s="1"/>
  <c r="H49" i="1"/>
  <c r="H47" i="1"/>
  <c r="H39" i="1"/>
  <c r="K18" i="1"/>
  <c r="F88" i="1"/>
  <c r="I88" i="1" s="1"/>
  <c r="J88" i="1" s="1"/>
  <c r="H37" i="1"/>
  <c r="K49" i="1"/>
  <c r="F100" i="1" l="1"/>
  <c r="I98" i="1" s="1"/>
  <c r="J98" i="1" s="1"/>
  <c r="K41" i="1"/>
  <c r="K53" i="1" l="1"/>
  <c r="F86" i="1"/>
  <c r="I86" i="1" s="1"/>
  <c r="J86" i="1" s="1"/>
  <c r="F84" i="1"/>
  <c r="I84" i="1" s="1"/>
  <c r="J84" i="1" s="1"/>
  <c r="F81" i="1"/>
  <c r="I81" i="1" s="1"/>
  <c r="J81" i="1" s="1"/>
  <c r="F78" i="1"/>
  <c r="I78" i="1" s="1"/>
  <c r="J78" i="1" s="1"/>
  <c r="F76" i="1"/>
  <c r="I76" i="1" s="1"/>
  <c r="J76" i="1" s="1"/>
  <c r="H53" i="1"/>
  <c r="H12" i="1"/>
  <c r="H29" i="1"/>
  <c r="K27" i="1"/>
  <c r="K39" i="1"/>
  <c r="K37" i="1"/>
  <c r="K55" i="1"/>
  <c r="K16" i="1"/>
  <c r="H27" i="1"/>
  <c r="K51" i="1"/>
  <c r="K47" i="1"/>
  <c r="K45" i="1"/>
  <c r="K43" i="1"/>
  <c r="H16" i="1"/>
  <c r="F72" i="1"/>
  <c r="F71" i="1"/>
  <c r="F70" i="1"/>
  <c r="H43" i="1"/>
  <c r="H45" i="1"/>
  <c r="H51" i="1"/>
  <c r="K35" i="1"/>
  <c r="K33" i="1"/>
  <c r="K31" i="1"/>
  <c r="K29" i="1"/>
  <c r="H14" i="1"/>
  <c r="H35" i="1"/>
  <c r="H31" i="1"/>
  <c r="F66" i="1"/>
  <c r="F65" i="1"/>
  <c r="F61" i="1"/>
  <c r="F60" i="1"/>
  <c r="F57" i="1"/>
  <c r="I57" i="1" s="1"/>
  <c r="J57" i="1" s="1"/>
  <c r="F62" i="1" l="1"/>
  <c r="I60" i="1" s="1"/>
  <c r="J60" i="1" s="1"/>
  <c r="F67" i="1"/>
  <c r="I65" i="1" s="1"/>
  <c r="J65" i="1" s="1"/>
  <c r="F73" i="1"/>
  <c r="I70" i="1" s="1"/>
  <c r="J70" i="1" s="1"/>
  <c r="F55" i="1"/>
  <c r="I55" i="1" s="1"/>
  <c r="J55" i="1" s="1"/>
  <c r="H33" i="1"/>
  <c r="F53" i="1" l="1"/>
  <c r="I53" i="1" s="1"/>
  <c r="J53" i="1" s="1"/>
  <c r="K14" i="1" l="1"/>
  <c r="K12" i="1"/>
  <c r="K8" i="1" l="1"/>
  <c r="K10" i="1"/>
  <c r="F51" i="1" l="1"/>
  <c r="I51" i="1" s="1"/>
  <c r="J51" i="1" s="1"/>
  <c r="F49" i="1"/>
  <c r="I49" i="1" s="1"/>
  <c r="J49" i="1" s="1"/>
  <c r="F47" i="1"/>
  <c r="I47" i="1" s="1"/>
  <c r="J47" i="1" s="1"/>
  <c r="F45" i="1"/>
  <c r="I45" i="1" s="1"/>
  <c r="J45" i="1" s="1"/>
  <c r="F43" i="1"/>
  <c r="I43" i="1" s="1"/>
  <c r="J43" i="1" s="1"/>
  <c r="F41" i="1"/>
  <c r="I41" i="1" s="1"/>
  <c r="J41" i="1" s="1"/>
  <c r="F39" i="1"/>
  <c r="I39" i="1" s="1"/>
  <c r="J39" i="1" s="1"/>
  <c r="F37" i="1"/>
  <c r="I37" i="1" s="1"/>
  <c r="J37" i="1" s="1"/>
  <c r="H10" i="1" l="1"/>
  <c r="H6" i="1" l="1"/>
  <c r="F14" i="1"/>
  <c r="I14" i="1" s="1"/>
  <c r="J14" i="1" s="1"/>
  <c r="F12" i="1"/>
  <c r="I12" i="1" s="1"/>
  <c r="J12" i="1" s="1"/>
  <c r="F35" i="1" l="1"/>
  <c r="I35" i="1" s="1"/>
  <c r="J35" i="1" s="1"/>
  <c r="F33" i="1"/>
  <c r="I33" i="1" s="1"/>
  <c r="J33" i="1" s="1"/>
  <c r="F31" i="1"/>
  <c r="I31" i="1" s="1"/>
  <c r="J31" i="1" s="1"/>
  <c r="F29" i="1"/>
  <c r="I29" i="1" s="1"/>
  <c r="J29" i="1" s="1"/>
  <c r="F27" i="1"/>
  <c r="I27" i="1" s="1"/>
  <c r="J27" i="1" s="1"/>
  <c r="F25" i="1"/>
  <c r="I25" i="1" s="1"/>
  <c r="J25" i="1" s="1"/>
  <c r="I23" i="1"/>
  <c r="J23" i="1" s="1"/>
  <c r="F21" i="1"/>
  <c r="I21" i="1" s="1"/>
  <c r="J21" i="1" s="1"/>
  <c r="F18" i="1"/>
  <c r="I18" i="1" s="1"/>
  <c r="J18" i="1" s="1"/>
  <c r="H2" i="1" l="1"/>
  <c r="K6" i="1" l="1"/>
  <c r="H8" i="1" l="1"/>
  <c r="H4" i="1" l="1"/>
  <c r="F16" i="1" l="1"/>
  <c r="I16" i="1" s="1"/>
  <c r="J16" i="1" s="1"/>
  <c r="F8" i="1" l="1"/>
  <c r="I8" i="1" s="1"/>
  <c r="J8" i="1" s="1"/>
  <c r="F10" i="1"/>
  <c r="I10" i="1" s="1"/>
  <c r="J10" i="1" s="1"/>
  <c r="K4" i="1" l="1"/>
  <c r="K2" i="1"/>
  <c r="F6" i="1" l="1"/>
  <c r="I6" i="1" s="1"/>
  <c r="J6" i="1" s="1"/>
  <c r="F4" i="1" l="1"/>
  <c r="I4" i="1" s="1"/>
  <c r="J4" i="1" s="1"/>
  <c r="F2" i="1" l="1"/>
  <c r="I2" i="1" s="1"/>
  <c r="J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8" authorId="0" shapeId="0" xr:uid="{8F9A8E29-06AF-434D-BC0C-33C191F3CED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Saldo pagado extra en referencia del año pasado 
</t>
        </r>
      </text>
    </comment>
    <comment ref="H29" authorId="0" shapeId="0" xr:uid="{C503AD0B-15CA-497A-8B11-1C58B278245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POR ERROR SE ENVIARON $5,000 DE MÁS EN LA 205-3, LOS PASAMOS A ESTA REFERENCIA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26" authorId="0" shapeId="0" xr:uid="{4D8EAAD7-3839-44CD-95B9-D33F99B5B1D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ALMACENAJES: el transporte no alcanzó a ingresar a puerto el dia y hora de la cita y se reagendó hasta 5 días despues</t>
        </r>
      </text>
    </comment>
  </commentList>
</comments>
</file>

<file path=xl/sharedStrings.xml><?xml version="1.0" encoding="utf-8"?>
<sst xmlns="http://schemas.openxmlformats.org/spreadsheetml/2006/main" count="635" uniqueCount="226">
  <si>
    <t>NO.</t>
  </si>
  <si>
    <t xml:space="preserve">PI NO. </t>
  </si>
  <si>
    <t>ITEM</t>
  </si>
  <si>
    <t>UNIT PRICE</t>
  </si>
  <si>
    <t>QUANTITY</t>
  </si>
  <si>
    <t>TOTAL AMOUNT</t>
  </si>
  <si>
    <t>ETA</t>
  </si>
  <si>
    <t>RECEIVED PAYMENT</t>
  </si>
  <si>
    <t>BALANCE PAYMENT</t>
  </si>
  <si>
    <t>BALANCE PESOS</t>
  </si>
  <si>
    <t>IMPUESTOS</t>
  </si>
  <si>
    <t>Agente Aduanal</t>
  </si>
  <si>
    <t xml:space="preserve">RECEPTION </t>
  </si>
  <si>
    <t>FLETE</t>
  </si>
  <si>
    <t>2025-14</t>
  </si>
  <si>
    <t>Tela 
COLORES</t>
  </si>
  <si>
    <t>SUMMA</t>
  </si>
  <si>
    <t>COBALLMA</t>
  </si>
  <si>
    <t>GALA</t>
  </si>
  <si>
    <t>2025-15</t>
  </si>
  <si>
    <t>OLIMPICA 
BLANCO</t>
  </si>
  <si>
    <t>AROL TEXTIL</t>
  </si>
  <si>
    <t>S251202</t>
  </si>
  <si>
    <t>200/288 SIM</t>
  </si>
  <si>
    <t>GAYTAN</t>
  </si>
  <si>
    <t>C260115P</t>
  </si>
  <si>
    <t xml:space="preserve">150/48 negro </t>
  </si>
  <si>
    <t xml:space="preserve">COBALMA </t>
  </si>
  <si>
    <t>S260115</t>
  </si>
  <si>
    <t>150/48 NIM</t>
  </si>
  <si>
    <t xml:space="preserve">HILOS ARCA </t>
  </si>
  <si>
    <t>2025-16</t>
  </si>
  <si>
    <t>OLIMPICA BLANCO</t>
  </si>
  <si>
    <t>AROL</t>
  </si>
  <si>
    <t>2025-10</t>
  </si>
  <si>
    <t>OLIMPICA: BLANCO
TORONTO: NEGRO Y BLANCO</t>
  </si>
  <si>
    <t>COBALMA</t>
  </si>
  <si>
    <t>S260201</t>
  </si>
  <si>
    <t>2026-1</t>
  </si>
  <si>
    <t>TORONTO</t>
  </si>
  <si>
    <t>PANAMA</t>
  </si>
  <si>
    <t>2026-2</t>
  </si>
  <si>
    <t>OLIMPICA</t>
  </si>
  <si>
    <t>2026-3</t>
  </si>
  <si>
    <t>2026-4</t>
  </si>
  <si>
    <t>FELPA</t>
  </si>
  <si>
    <t>S260205B</t>
  </si>
  <si>
    <t>45/24</t>
  </si>
  <si>
    <t>AMERICAN</t>
  </si>
  <si>
    <t>S260205-4</t>
  </si>
  <si>
    <t>75/72</t>
  </si>
  <si>
    <t>XENIT</t>
  </si>
  <si>
    <t>S260205-2</t>
  </si>
  <si>
    <t>S260205-1</t>
  </si>
  <si>
    <t>75/72/2</t>
  </si>
  <si>
    <t>S260205-3</t>
  </si>
  <si>
    <t>S260228B-1</t>
  </si>
  <si>
    <t>75/36 NIM</t>
  </si>
  <si>
    <t>S260228B-2</t>
  </si>
  <si>
    <t>S260228B-6</t>
  </si>
  <si>
    <t>75/36</t>
  </si>
  <si>
    <t>ORIENTACION</t>
  </si>
  <si>
    <t>S260228B-3</t>
  </si>
  <si>
    <t xml:space="preserve">75/72 SIM </t>
  </si>
  <si>
    <t>CA INTER</t>
  </si>
  <si>
    <t>S260228B-4</t>
  </si>
  <si>
    <t>75/72 SIM</t>
  </si>
  <si>
    <t>S260228B-5</t>
  </si>
  <si>
    <t>S260228B-7</t>
  </si>
  <si>
    <t>150/144</t>
  </si>
  <si>
    <t xml:space="preserve">ORIENTACION </t>
  </si>
  <si>
    <t>ZI26030201CH</t>
  </si>
  <si>
    <t>150/48</t>
  </si>
  <si>
    <t>ZW26030543CH</t>
  </si>
  <si>
    <t>300/288</t>
  </si>
  <si>
    <t>2025-12</t>
  </si>
  <si>
    <t xml:space="preserve">PARAGUAY BLANCO </t>
  </si>
  <si>
    <t>S260325</t>
  </si>
  <si>
    <t>SE260331F</t>
  </si>
  <si>
    <t>75/72 SIM CD</t>
  </si>
  <si>
    <t xml:space="preserve">GALA </t>
  </si>
  <si>
    <t xml:space="preserve">75/72 SIM SD </t>
  </si>
  <si>
    <t>S260331</t>
  </si>
  <si>
    <t>100/144</t>
  </si>
  <si>
    <t>C260411P</t>
  </si>
  <si>
    <t>150/48: NEGRO</t>
  </si>
  <si>
    <t>150/48: THUNDER</t>
  </si>
  <si>
    <t>150/48: CAFÉ</t>
  </si>
  <si>
    <t>ZW26040101CH</t>
  </si>
  <si>
    <t>DTY 150/144</t>
  </si>
  <si>
    <t>S260424B-1</t>
  </si>
  <si>
    <t>S260424B-2</t>
  </si>
  <si>
    <t>S260424-1</t>
  </si>
  <si>
    <t>S260424</t>
  </si>
  <si>
    <t>ZH26042231CH</t>
  </si>
  <si>
    <t>ZI26051449CH-1</t>
  </si>
  <si>
    <t>S260522F</t>
  </si>
  <si>
    <t>75/144/2</t>
  </si>
  <si>
    <t>150/288</t>
  </si>
  <si>
    <t>2026-5</t>
  </si>
  <si>
    <t>2026-6</t>
  </si>
  <si>
    <t>2026-7</t>
  </si>
  <si>
    <t>2026-8</t>
  </si>
  <si>
    <t>C260708P</t>
  </si>
  <si>
    <t>150/48 BLACK</t>
  </si>
  <si>
    <t>150/48 RED</t>
  </si>
  <si>
    <t>150/48 REY</t>
  </si>
  <si>
    <t>150/48 DARK BLACK</t>
  </si>
  <si>
    <t>150/48 LATTE</t>
  </si>
  <si>
    <t>150/48/2 BLACK</t>
  </si>
  <si>
    <t>ZW26071401CH</t>
  </si>
  <si>
    <t>ZW26071402CH</t>
  </si>
  <si>
    <t>S260713B</t>
  </si>
  <si>
    <t>S260713C</t>
  </si>
  <si>
    <t>Contrato</t>
  </si>
  <si>
    <t>Subcontrato</t>
  </si>
  <si>
    <t>Razón social</t>
  </si>
  <si>
    <t>Folio</t>
  </si>
  <si>
    <t xml:space="preserve">Factura </t>
  </si>
  <si>
    <t>Pedimento</t>
  </si>
  <si>
    <t>Estatus</t>
  </si>
  <si>
    <t>Inicio</t>
  </si>
  <si>
    <t>Fecha 
Vencimiento</t>
  </si>
  <si>
    <t>Importe Inicial</t>
  </si>
  <si>
    <t>Importe Vigente</t>
  </si>
  <si>
    <t>00333450</t>
  </si>
  <si>
    <t>00002542</t>
  </si>
  <si>
    <t>COMERCIALIZADORA COBALMA SA DE CV</t>
  </si>
  <si>
    <t>251619245003869</t>
  </si>
  <si>
    <t>CONSTANCIA VIGENTE</t>
  </si>
  <si>
    <t>11/09/2025</t>
  </si>
  <si>
    <t>11/03/2026</t>
  </si>
  <si>
    <t>15,000.00</t>
  </si>
  <si>
    <t>15,353.37</t>
  </si>
  <si>
    <t>00003482</t>
  </si>
  <si>
    <t>CECI TEXTIL SA DE CV</t>
  </si>
  <si>
    <t>251619245003561</t>
  </si>
  <si>
    <t>12,000.00</t>
  </si>
  <si>
    <t>12,291.74</t>
  </si>
  <si>
    <t>251619245004031</t>
  </si>
  <si>
    <t>30/09/2025</t>
  </si>
  <si>
    <t>30/03/2026</t>
  </si>
  <si>
    <t>13,000.00</t>
  </si>
  <si>
    <t>13,260.80</t>
  </si>
  <si>
    <t>251619245004032</t>
  </si>
  <si>
    <t>21,000.00</t>
  </si>
  <si>
    <t>21,421.61</t>
  </si>
  <si>
    <t>251619245004261</t>
  </si>
  <si>
    <t>29/10/2025</t>
  </si>
  <si>
    <t>29/04/2026</t>
  </si>
  <si>
    <t>16,000.00</t>
  </si>
  <si>
    <t>16,233.78</t>
  </si>
  <si>
    <t>251619245004262</t>
  </si>
  <si>
    <t>16,100.00</t>
  </si>
  <si>
    <t>16,335.18</t>
  </si>
  <si>
    <t>2025-9</t>
  </si>
  <si>
    <t>251616415100013</t>
  </si>
  <si>
    <t>20/11/2025</t>
  </si>
  <si>
    <t>20/05/2026</t>
  </si>
  <si>
    <t>17,200.00</t>
  </si>
  <si>
    <t>17,392.03</t>
  </si>
  <si>
    <t>2025-13</t>
  </si>
  <si>
    <t>251616415100016</t>
  </si>
  <si>
    <t>03/12/2025</t>
  </si>
  <si>
    <t>03/06/2026</t>
  </si>
  <si>
    <t>38,000.00</t>
  </si>
  <si>
    <t>38,340.35</t>
  </si>
  <si>
    <t>202603801</t>
  </si>
  <si>
    <t>261616416100130</t>
  </si>
  <si>
    <t>21/01/2026</t>
  </si>
  <si>
    <t>21/07/2026</t>
  </si>
  <si>
    <t>130,000.00</t>
  </si>
  <si>
    <t>130,144.56</t>
  </si>
  <si>
    <t>202603802</t>
  </si>
  <si>
    <t>261616416100110</t>
  </si>
  <si>
    <t>37,000.00</t>
  </si>
  <si>
    <t>37,041.09</t>
  </si>
  <si>
    <t>261616416100512</t>
  </si>
  <si>
    <t>11/03/2027</t>
  </si>
  <si>
    <t>261616416100511</t>
  </si>
  <si>
    <t>261616416100730</t>
  </si>
  <si>
    <t>16/04/2026</t>
  </si>
  <si>
    <t>16/04/2027</t>
  </si>
  <si>
    <t>261616416100794</t>
  </si>
  <si>
    <t>05/05/2026</t>
  </si>
  <si>
    <t>05/05/2027</t>
  </si>
  <si>
    <t>261616416101124</t>
  </si>
  <si>
    <t>23/06/2026</t>
  </si>
  <si>
    <t>23/06/2027</t>
  </si>
  <si>
    <t>261616416101176</t>
  </si>
  <si>
    <t>29/06/2026</t>
  </si>
  <si>
    <t>29/06/2027</t>
  </si>
  <si>
    <t>MONTO</t>
  </si>
  <si>
    <t>SALDO</t>
  </si>
  <si>
    <t>FECHA EMITIDA</t>
  </si>
  <si>
    <t>AGENTE</t>
  </si>
  <si>
    <t>ESTATUS</t>
  </si>
  <si>
    <t>CUENTA DE GASTOS</t>
  </si>
  <si>
    <t>TELA</t>
  </si>
  <si>
    <t>POR PAGAR</t>
  </si>
  <si>
    <t xml:space="preserve">PAGADO </t>
  </si>
  <si>
    <t>200/288</t>
  </si>
  <si>
    <t>A FAVOR</t>
  </si>
  <si>
    <t>THIES</t>
  </si>
  <si>
    <t>MONFORTS</t>
  </si>
  <si>
    <t>ok</t>
  </si>
  <si>
    <t xml:space="preserve">DAÑO DE CONTENEDOR </t>
  </si>
  <si>
    <t>2026-9AB 12</t>
  </si>
  <si>
    <t>S260725</t>
  </si>
  <si>
    <t>2026-9B 10 11</t>
  </si>
  <si>
    <t>JACQUARD</t>
  </si>
  <si>
    <t>2026-12 9AB</t>
  </si>
  <si>
    <t>PARAGUAY</t>
  </si>
  <si>
    <t>ZI26051449CH-2</t>
  </si>
  <si>
    <t>SEA WIN</t>
  </si>
  <si>
    <t>COMENTARIOS</t>
  </si>
  <si>
    <t xml:space="preserve">ANTICIPO PROVEEDOR </t>
  </si>
  <si>
    <t>ZI26051449CH-3</t>
  </si>
  <si>
    <t>C260819P</t>
  </si>
  <si>
    <t>150/48 NIM NEGRO</t>
  </si>
  <si>
    <t>150/48/2 HIM NEGRO</t>
  </si>
  <si>
    <t>EN ESPERA DE QUE TOQUE PISO</t>
  </si>
  <si>
    <t>ESPERA DE DOCUMENTOS</t>
  </si>
  <si>
    <t>S260713C-1</t>
  </si>
  <si>
    <t>75/72/2 SIM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</si>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</sst>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[$$-80A]* #,##0.00_-;\-[$$-80A]* #,##0.00_-;_-[$$-80A]* &quot;-&quot;??_-;_-@_-"/>
    <numFmt numFmtId="165" formatCode="_-[$$-80A]* #,##0.000_-;\-[$$-80A]* #,##0.000_-;_-[$$-80A]* &quot;-&quot;??_-;_-@_-"/>
    <numFmt numFmtId="166" formatCode="_-[$$-80A]* #,##0.0000_-;\-[$$-80A]* #,##0.0000_-;_-[$$-80A]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7"/>
      <name val="Arial"/>
      <family val="2"/>
    </font>
    <font>
      <b/>
      <sz val="11"/>
      <color theme="9"/>
      <name val="Calibri"/>
      <family val="2"/>
      <scheme val="minor"/>
    </font>
    <font>
      <sz val="11"/>
      <color theme="7"/>
      <name val="Arial"/>
      <family val="2"/>
    </font>
    <font>
      <b/>
      <sz val="11"/>
      <name val="Calibri"/>
      <family val="2"/>
      <scheme val="minor"/>
    </font>
    <font>
      <sz val="11"/>
      <color rgb="FFBCA726"/>
      <name val="Arial"/>
      <family val="2"/>
    </font>
    <font>
      <sz val="8"/>
      <color theme="1"/>
      <name val="Candara"/>
      <family val="2"/>
    </font>
    <font>
      <sz val="11"/>
      <color theme="7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1" fillId="0" borderId="2" applyNumberFormat="0" applyFill="0" applyAlignment="0" applyProtection="0"/>
    <xf numFmtId="0" fontId="15" fillId="0" borderId="3" applyNumberFormat="0" applyFill="0" applyAlignment="0" applyProtection="0"/>
  </cellStyleXfs>
  <cellXfs count="9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4" fontId="0" fillId="0" borderId="0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/>
    </xf>
    <xf numFmtId="44" fontId="7" fillId="0" borderId="0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1" fillId="0" borderId="2" xfId="2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" fontId="1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" fontId="15" fillId="0" borderId="3" xfId="3" applyNumberFormat="1" applyAlignment="1">
      <alignment horizontal="center" vertical="center"/>
    </xf>
    <xf numFmtId="44" fontId="17" fillId="0" borderId="3" xfId="3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3" fillId="0" borderId="2" xfId="2" applyNumberFormat="1" applyFont="1" applyAlignment="1">
      <alignment horizontal="center" vertical="center"/>
    </xf>
    <xf numFmtId="44" fontId="4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4" fontId="19" fillId="0" borderId="3" xfId="3" applyNumberFormat="1" applyFont="1" applyFill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13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44" fontId="20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44" fontId="4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vertical="center"/>
    </xf>
    <xf numFmtId="0" fontId="0" fillId="0" borderId="11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" fontId="5" fillId="0" borderId="10" xfId="0" applyNumberFormat="1" applyFont="1" applyBorder="1" applyAlignment="1">
      <alignment horizontal="center" vertical="center"/>
    </xf>
    <xf numFmtId="44" fontId="10" fillId="0" borderId="1" xfId="0" applyNumberFormat="1" applyFont="1" applyBorder="1" applyAlignment="1">
      <alignment horizontal="center" vertical="center"/>
    </xf>
    <xf numFmtId="44" fontId="22" fillId="0" borderId="0" xfId="0" applyNumberFormat="1" applyFont="1" applyAlignment="1">
      <alignment horizontal="center" vertical="center"/>
    </xf>
    <xf numFmtId="16" fontId="5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6" fontId="3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44" fontId="0" fillId="0" borderId="0" xfId="1" applyFont="1" applyAlignment="1">
      <alignment horizontal="center" vertical="center"/>
    </xf>
    <xf numFmtId="0" fontId="0" fillId="3" borderId="0" xfId="0" applyFill="1" applyAlignment="1">
      <alignment horizontal="center"/>
    </xf>
  </cellXfs>
  <cellStyles count="4">
    <cellStyle name="Moneda" xfId="1" builtinId="4"/>
    <cellStyle name="Normal" xfId="0" builtinId="0"/>
    <cellStyle name="Título 3" xfId="3" builtinId="18"/>
    <cellStyle name="Total" xfId="2" builtinId="25"/>
  </cellStyles>
  <dxfs count="0"/>
  <tableStyles count="0" defaultTableStyle="TableStyleMedium2" defaultPivotStyle="PivotStyleLight16"/>
  <colors>
    <mruColors>
      <color rgb="FFBCA7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9E8B-76C7-489F-8665-0F2C3D5820E2}">
  <dimension ref="A1:N162"/>
  <sheetViews>
    <sheetView tabSelected="1" zoomScaleNormal="100" workbookViewId="0">
      <pane ySplit="1" topLeftCell="A149" activePane="bottomLeft" state="frozen"/>
      <selection pane="bottomLeft" activeCell="G163" sqref="G163"/>
    </sheetView>
  </sheetViews>
  <sheetFormatPr baseColWidth="10" defaultColWidth="9" defaultRowHeight="15" x14ac:dyDescent="0.25"/>
  <cols>
    <col min="1" max="1" width="5" style="4" customWidth="1"/>
    <col min="2" max="2" width="16.42578125" style="6" bestFit="1" customWidth="1"/>
    <col min="3" max="3" width="22.140625" style="4" bestFit="1" customWidth="1"/>
    <col min="4" max="4" width="15.42578125" style="4" bestFit="1" customWidth="1"/>
    <col min="5" max="5" width="14.85546875" style="4" bestFit="1" customWidth="1"/>
    <col min="6" max="6" width="14" style="4" bestFit="1" customWidth="1"/>
    <col min="7" max="7" width="8.7109375" style="7" customWidth="1"/>
    <col min="8" max="9" width="14.42578125" style="8" bestFit="1" customWidth="1"/>
    <col min="10" max="10" width="19.7109375" style="4" bestFit="1" customWidth="1"/>
    <col min="11" max="11" width="16" style="5" bestFit="1" customWidth="1"/>
    <col min="12" max="12" width="14.28515625" style="4" bestFit="1" customWidth="1"/>
    <col min="13" max="13" width="15.7109375" style="4" bestFit="1" customWidth="1"/>
    <col min="14" max="14" width="18.7109375" style="4" customWidth="1"/>
    <col min="15" max="16" width="14.140625" style="5" bestFit="1" customWidth="1"/>
    <col min="17" max="16384" width="9" style="5"/>
  </cols>
  <sheetData>
    <row r="1" spans="1:14" s="3" customFormat="1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ht="28.5" x14ac:dyDescent="0.25">
      <c r="A2" s="4">
        <v>1</v>
      </c>
      <c r="B2" s="41" t="s">
        <v>14</v>
      </c>
      <c r="C2" s="21" t="s">
        <v>15</v>
      </c>
      <c r="D2" s="45">
        <v>2.25</v>
      </c>
      <c r="E2" s="8">
        <v>17897.2</v>
      </c>
      <c r="F2" s="45">
        <f>D2*E2</f>
        <v>40268.700000000004</v>
      </c>
      <c r="G2" s="42">
        <v>46038</v>
      </c>
      <c r="H2" s="43">
        <f>25000+15268.7</f>
        <v>40268.699999999997</v>
      </c>
      <c r="I2" s="45">
        <f>+F2-H2</f>
        <v>0</v>
      </c>
      <c r="J2" s="45">
        <f>+I2*19</f>
        <v>0</v>
      </c>
      <c r="K2" s="9">
        <f>443943-443943</f>
        <v>0</v>
      </c>
      <c r="L2" s="4" t="s">
        <v>16</v>
      </c>
      <c r="M2" s="4" t="s">
        <v>17</v>
      </c>
      <c r="N2" s="4" t="s">
        <v>18</v>
      </c>
    </row>
    <row r="3" spans="1:14" x14ac:dyDescent="0.25">
      <c r="B3" s="41"/>
      <c r="C3" s="8"/>
      <c r="D3" s="45"/>
      <c r="E3" s="8"/>
      <c r="F3" s="45"/>
      <c r="G3" s="49"/>
      <c r="I3" s="45"/>
      <c r="J3" s="45"/>
      <c r="K3" s="9"/>
    </row>
    <row r="4" spans="1:14" ht="28.5" x14ac:dyDescent="0.25">
      <c r="A4" s="4">
        <v>2</v>
      </c>
      <c r="B4" s="41" t="s">
        <v>19</v>
      </c>
      <c r="C4" s="21" t="s">
        <v>20</v>
      </c>
      <c r="D4" s="45">
        <v>2.1</v>
      </c>
      <c r="E4" s="8">
        <v>18832.2</v>
      </c>
      <c r="F4" s="45">
        <f>D4*E4</f>
        <v>39547.620000000003</v>
      </c>
      <c r="G4" s="42">
        <v>46038</v>
      </c>
      <c r="H4" s="43">
        <f>10000+10000+19547.62</f>
        <v>39547.619999999995</v>
      </c>
      <c r="I4" s="45">
        <f>+F4-H4</f>
        <v>0</v>
      </c>
      <c r="J4" s="45">
        <f>+I4*19</f>
        <v>0</v>
      </c>
      <c r="K4" s="9">
        <f>354817-354817</f>
        <v>0</v>
      </c>
      <c r="L4" s="4" t="s">
        <v>16</v>
      </c>
      <c r="M4" s="4" t="s">
        <v>21</v>
      </c>
      <c r="N4" s="4" t="s">
        <v>18</v>
      </c>
    </row>
    <row r="5" spans="1:14" x14ac:dyDescent="0.25">
      <c r="C5" s="8"/>
    </row>
    <row r="6" spans="1:14" x14ac:dyDescent="0.25">
      <c r="A6" s="4">
        <v>3</v>
      </c>
      <c r="B6" s="41" t="s">
        <v>22</v>
      </c>
      <c r="C6" s="8" t="s">
        <v>23</v>
      </c>
      <c r="D6" s="44">
        <v>1.02</v>
      </c>
      <c r="E6" s="8">
        <v>24480</v>
      </c>
      <c r="F6" s="45">
        <f>D6*E6</f>
        <v>24969.600000000002</v>
      </c>
      <c r="G6" s="42">
        <v>46057</v>
      </c>
      <c r="H6" s="43">
        <f>15000+9969.5</f>
        <v>24969.5</v>
      </c>
      <c r="I6" s="45">
        <f>+F6-H6</f>
        <v>0.10000000000218279</v>
      </c>
      <c r="J6" s="45">
        <f>+I6*19</f>
        <v>1.900000000041473</v>
      </c>
      <c r="K6" s="9">
        <f>133357-133357</f>
        <v>0</v>
      </c>
      <c r="L6" s="4" t="s">
        <v>16</v>
      </c>
      <c r="M6" s="4" t="s">
        <v>24</v>
      </c>
      <c r="N6" s="4" t="s">
        <v>18</v>
      </c>
    </row>
    <row r="8" spans="1:14" x14ac:dyDescent="0.25">
      <c r="A8" s="4">
        <v>4</v>
      </c>
      <c r="B8" s="41" t="s">
        <v>25</v>
      </c>
      <c r="C8" s="8" t="s">
        <v>26</v>
      </c>
      <c r="D8" s="44">
        <v>1.04</v>
      </c>
      <c r="E8" s="8">
        <v>25200</v>
      </c>
      <c r="F8" s="45">
        <f>D8*E8</f>
        <v>26208</v>
      </c>
      <c r="G8" s="42">
        <v>46081</v>
      </c>
      <c r="H8" s="43">
        <f>8000+18019.68</f>
        <v>26019.68</v>
      </c>
      <c r="I8" s="45">
        <f>+F8-H8</f>
        <v>188.31999999999971</v>
      </c>
      <c r="J8" s="45">
        <f>+I8*19</f>
        <v>3578.0799999999945</v>
      </c>
      <c r="K8" s="9">
        <f>139422-139422</f>
        <v>0</v>
      </c>
      <c r="L8" s="4" t="s">
        <v>16</v>
      </c>
      <c r="M8" s="4" t="s">
        <v>27</v>
      </c>
      <c r="N8" s="4" t="s">
        <v>18</v>
      </c>
    </row>
    <row r="10" spans="1:14" x14ac:dyDescent="0.25">
      <c r="A10" s="4">
        <v>5</v>
      </c>
      <c r="B10" s="41" t="s">
        <v>28</v>
      </c>
      <c r="C10" s="8" t="s">
        <v>29</v>
      </c>
      <c r="D10" s="14">
        <v>0.96050000000000002</v>
      </c>
      <c r="E10" s="8">
        <v>24480</v>
      </c>
      <c r="F10" s="45">
        <f>D10*E10</f>
        <v>23513.040000000001</v>
      </c>
      <c r="G10" s="42">
        <v>46081</v>
      </c>
      <c r="H10" s="43">
        <f>8000+15513.04</f>
        <v>23513.040000000001</v>
      </c>
      <c r="I10" s="45">
        <f>+F10-H10</f>
        <v>0</v>
      </c>
      <c r="J10" s="45">
        <f>+I10*19</f>
        <v>0</v>
      </c>
      <c r="K10" s="9">
        <f>120475-120475</f>
        <v>0</v>
      </c>
      <c r="L10" s="4" t="s">
        <v>16</v>
      </c>
      <c r="M10" s="4" t="s">
        <v>30</v>
      </c>
      <c r="N10" s="4" t="s">
        <v>18</v>
      </c>
    </row>
    <row r="12" spans="1:14" x14ac:dyDescent="0.25">
      <c r="A12" s="4">
        <v>6</v>
      </c>
      <c r="B12" s="41" t="s">
        <v>31</v>
      </c>
      <c r="C12" s="8" t="s">
        <v>32</v>
      </c>
      <c r="D12" s="14">
        <v>2.0499999999999998</v>
      </c>
      <c r="E12" s="8">
        <v>19434.400000000001</v>
      </c>
      <c r="F12" s="45">
        <f>D12*E12</f>
        <v>39840.519999999997</v>
      </c>
      <c r="G12" s="42">
        <v>46091</v>
      </c>
      <c r="H12" s="43">
        <f>10000+19840.52+10000</f>
        <v>39840.520000000004</v>
      </c>
      <c r="I12" s="45">
        <f>+F12-H12</f>
        <v>0</v>
      </c>
      <c r="J12" s="45">
        <f>+I12*19</f>
        <v>0</v>
      </c>
      <c r="K12" s="9">
        <f>360568-360568</f>
        <v>0</v>
      </c>
      <c r="L12" s="4" t="s">
        <v>16</v>
      </c>
      <c r="M12" s="4" t="s">
        <v>33</v>
      </c>
      <c r="N12" s="4" t="s">
        <v>18</v>
      </c>
    </row>
    <row r="14" spans="1:14" ht="42.75" x14ac:dyDescent="0.25">
      <c r="A14" s="4">
        <v>7</v>
      </c>
      <c r="B14" s="41" t="s">
        <v>34</v>
      </c>
      <c r="C14" s="21" t="s">
        <v>35</v>
      </c>
      <c r="D14" s="14">
        <v>2.14</v>
      </c>
      <c r="E14" s="8">
        <v>17840.400000000001</v>
      </c>
      <c r="F14" s="45">
        <f>D14*E14</f>
        <v>38178.456000000006</v>
      </c>
      <c r="G14" s="42">
        <v>46091</v>
      </c>
      <c r="H14" s="43">
        <f>10000+28178.46</f>
        <v>38178.46</v>
      </c>
      <c r="I14" s="45">
        <f>+F14-H14</f>
        <v>-3.9999999935389496E-3</v>
      </c>
      <c r="J14" s="45">
        <f>+I14*19</f>
        <v>-7.5999999877240043E-2</v>
      </c>
      <c r="K14" s="9">
        <f>356648-356648</f>
        <v>0</v>
      </c>
      <c r="L14" s="4" t="s">
        <v>16</v>
      </c>
      <c r="M14" s="4" t="s">
        <v>36</v>
      </c>
      <c r="N14" s="4" t="s">
        <v>18</v>
      </c>
    </row>
    <row r="15" spans="1:14" x14ac:dyDescent="0.25">
      <c r="B15" s="41"/>
      <c r="C15" s="8"/>
      <c r="D15" s="14"/>
      <c r="E15" s="8"/>
      <c r="F15" s="45"/>
      <c r="G15" s="49"/>
      <c r="H15" s="43"/>
      <c r="I15" s="45"/>
      <c r="J15" s="45"/>
      <c r="K15" s="9"/>
    </row>
    <row r="16" spans="1:14" x14ac:dyDescent="0.25">
      <c r="A16" s="4">
        <v>8</v>
      </c>
      <c r="B16" s="41" t="s">
        <v>37</v>
      </c>
      <c r="C16" s="8" t="s">
        <v>29</v>
      </c>
      <c r="D16" s="14">
        <v>0.96050000000000002</v>
      </c>
      <c r="E16" s="8">
        <v>24480</v>
      </c>
      <c r="F16" s="45">
        <f>D16*E16</f>
        <v>23513.040000000001</v>
      </c>
      <c r="G16" s="42">
        <v>46130</v>
      </c>
      <c r="H16" s="43">
        <f>5000+18513.04</f>
        <v>23513.040000000001</v>
      </c>
      <c r="I16" s="45">
        <f>+F16-H16</f>
        <v>0</v>
      </c>
      <c r="J16" s="45">
        <f>+I16*19</f>
        <v>0</v>
      </c>
      <c r="K16" s="9">
        <f>140791-140791</f>
        <v>0</v>
      </c>
      <c r="L16" s="4" t="s">
        <v>16</v>
      </c>
    </row>
    <row r="18" spans="1:14" x14ac:dyDescent="0.25">
      <c r="A18" s="4">
        <v>9</v>
      </c>
      <c r="B18" s="86" t="s">
        <v>38</v>
      </c>
      <c r="C18" s="8" t="s">
        <v>39</v>
      </c>
      <c r="D18" s="88">
        <v>2.13</v>
      </c>
      <c r="E18" s="83">
        <v>18159</v>
      </c>
      <c r="F18" s="82">
        <f t="shared" ref="F18:F53" si="0">D18*E18</f>
        <v>38678.67</v>
      </c>
      <c r="G18" s="87">
        <v>46146</v>
      </c>
      <c r="H18" s="84">
        <f>10000+28678.67</f>
        <v>38678.67</v>
      </c>
      <c r="I18" s="82">
        <f>+F18-H18</f>
        <v>0</v>
      </c>
      <c r="J18" s="82">
        <f>+I18*19</f>
        <v>0</v>
      </c>
      <c r="K18" s="82">
        <f>359845-359845</f>
        <v>0</v>
      </c>
      <c r="L18" s="81" t="s">
        <v>16</v>
      </c>
      <c r="M18" s="81"/>
    </row>
    <row r="19" spans="1:14" x14ac:dyDescent="0.25">
      <c r="B19" s="86"/>
      <c r="C19" s="8" t="s">
        <v>40</v>
      </c>
      <c r="D19" s="88"/>
      <c r="E19" s="83"/>
      <c r="F19" s="82"/>
      <c r="G19" s="87"/>
      <c r="H19" s="84"/>
      <c r="I19" s="82"/>
      <c r="J19" s="82"/>
      <c r="K19" s="82"/>
      <c r="L19" s="81"/>
      <c r="M19" s="81"/>
    </row>
    <row r="20" spans="1:14" x14ac:dyDescent="0.25">
      <c r="B20" s="41"/>
      <c r="C20" s="8"/>
      <c r="D20" s="44"/>
      <c r="E20" s="8"/>
      <c r="F20" s="45"/>
      <c r="G20" s="49"/>
      <c r="H20" s="43"/>
      <c r="I20" s="45"/>
      <c r="J20" s="45"/>
      <c r="K20" s="9"/>
    </row>
    <row r="21" spans="1:14" x14ac:dyDescent="0.25">
      <c r="A21" s="4">
        <v>10</v>
      </c>
      <c r="B21" s="41" t="s">
        <v>41</v>
      </c>
      <c r="C21" s="8" t="s">
        <v>42</v>
      </c>
      <c r="D21" s="44">
        <v>2.12</v>
      </c>
      <c r="E21" s="8">
        <v>20143.8</v>
      </c>
      <c r="F21" s="45">
        <f t="shared" si="0"/>
        <v>42704.856</v>
      </c>
      <c r="G21" s="42">
        <v>46191</v>
      </c>
      <c r="H21" s="43">
        <f>10000+22704.86+10000</f>
        <v>42704.86</v>
      </c>
      <c r="I21" s="45">
        <f>+F21-H21</f>
        <v>-4.0000000008149073E-3</v>
      </c>
      <c r="J21" s="45">
        <f>+I21*19</f>
        <v>-7.6000000015483238E-2</v>
      </c>
      <c r="K21" s="9">
        <f>378447-378447</f>
        <v>0</v>
      </c>
      <c r="L21" s="4" t="s">
        <v>16</v>
      </c>
    </row>
    <row r="22" spans="1:14" x14ac:dyDescent="0.25">
      <c r="B22" s="41"/>
      <c r="C22" s="8"/>
      <c r="D22" s="44"/>
      <c r="E22" s="8"/>
      <c r="F22" s="45"/>
      <c r="G22" s="49"/>
      <c r="H22" s="43"/>
      <c r="I22" s="45"/>
      <c r="J22" s="45"/>
      <c r="K22" s="9"/>
    </row>
    <row r="23" spans="1:14" x14ac:dyDescent="0.25">
      <c r="A23" s="4">
        <v>11</v>
      </c>
      <c r="B23" s="41" t="s">
        <v>43</v>
      </c>
      <c r="C23" s="8" t="s">
        <v>42</v>
      </c>
      <c r="D23" s="44">
        <v>2.2200000000000002</v>
      </c>
      <c r="E23" s="8">
        <v>20124.099999999999</v>
      </c>
      <c r="F23" s="45">
        <v>44675.51</v>
      </c>
      <c r="G23" s="42">
        <v>46198</v>
      </c>
      <c r="H23" s="43">
        <f>10000+34675.51</f>
        <v>44675.51</v>
      </c>
      <c r="I23" s="45">
        <f>+F23-H23</f>
        <v>0</v>
      </c>
      <c r="J23" s="45">
        <f>+I23*19</f>
        <v>0</v>
      </c>
      <c r="K23" s="9">
        <f>429607-429607</f>
        <v>0</v>
      </c>
      <c r="L23" s="4" t="s">
        <v>16</v>
      </c>
    </row>
    <row r="24" spans="1:14" x14ac:dyDescent="0.25">
      <c r="B24" s="41"/>
      <c r="C24" s="8"/>
      <c r="D24" s="44"/>
      <c r="E24" s="8"/>
      <c r="F24" s="45"/>
      <c r="G24" s="49"/>
      <c r="H24" s="43"/>
      <c r="I24" s="45"/>
      <c r="J24" s="45"/>
      <c r="K24" s="9"/>
    </row>
    <row r="25" spans="1:14" x14ac:dyDescent="0.25">
      <c r="A25" s="4">
        <v>12</v>
      </c>
      <c r="B25" s="41" t="s">
        <v>44</v>
      </c>
      <c r="C25" s="8" t="s">
        <v>45</v>
      </c>
      <c r="D25" s="44">
        <v>2.67</v>
      </c>
      <c r="E25" s="8">
        <v>14459.4</v>
      </c>
      <c r="F25" s="45">
        <f t="shared" si="0"/>
        <v>38606.597999999998</v>
      </c>
      <c r="G25" s="42">
        <v>46214</v>
      </c>
      <c r="H25" s="43">
        <f>10000+11362.4+17244.2</f>
        <v>38606.600000000006</v>
      </c>
      <c r="I25" s="45">
        <f>+F25-H25</f>
        <v>-2.0000000076834112E-3</v>
      </c>
      <c r="J25" s="45">
        <f>+I25*19</f>
        <v>-3.8000000145984814E-2</v>
      </c>
      <c r="K25" s="9">
        <f>244900-244900</f>
        <v>0</v>
      </c>
      <c r="L25" s="4" t="s">
        <v>16</v>
      </c>
    </row>
    <row r="26" spans="1:14" x14ac:dyDescent="0.25">
      <c r="F26" s="45"/>
    </row>
    <row r="27" spans="1:14" x14ac:dyDescent="0.25">
      <c r="A27" s="4">
        <v>13</v>
      </c>
      <c r="B27" s="41" t="s">
        <v>46</v>
      </c>
      <c r="C27" s="8" t="s">
        <v>47</v>
      </c>
      <c r="D27" s="44">
        <v>1.05</v>
      </c>
      <c r="E27" s="8">
        <v>24480</v>
      </c>
      <c r="F27" s="45">
        <f t="shared" si="0"/>
        <v>25704</v>
      </c>
      <c r="G27" s="42">
        <v>46130</v>
      </c>
      <c r="H27" s="43">
        <f>5000+20704</f>
        <v>25704</v>
      </c>
      <c r="I27" s="45">
        <f>+F27-H27</f>
        <v>0</v>
      </c>
      <c r="J27" s="45">
        <f>+I27*19</f>
        <v>0</v>
      </c>
      <c r="K27" s="9">
        <f>150004-150004</f>
        <v>0</v>
      </c>
      <c r="L27" s="4" t="s">
        <v>16</v>
      </c>
      <c r="M27" s="4" t="s">
        <v>48</v>
      </c>
      <c r="N27" s="4" t="s">
        <v>18</v>
      </c>
    </row>
    <row r="28" spans="1:14" x14ac:dyDescent="0.25">
      <c r="B28" s="41"/>
      <c r="C28" s="8"/>
      <c r="D28" s="44"/>
      <c r="E28" s="8"/>
      <c r="F28" s="45"/>
      <c r="G28" s="49"/>
      <c r="H28" s="43"/>
      <c r="I28" s="45"/>
      <c r="J28" s="45"/>
      <c r="K28" s="9"/>
    </row>
    <row r="29" spans="1:14" x14ac:dyDescent="0.25">
      <c r="A29" s="4">
        <v>14</v>
      </c>
      <c r="B29" s="41" t="s">
        <v>49</v>
      </c>
      <c r="C29" s="8" t="s">
        <v>50</v>
      </c>
      <c r="D29" s="44">
        <v>1.1399999999999999</v>
      </c>
      <c r="E29" s="8">
        <v>24480</v>
      </c>
      <c r="F29" s="45">
        <f t="shared" si="0"/>
        <v>27907.199999999997</v>
      </c>
      <c r="G29" s="42">
        <v>46120</v>
      </c>
      <c r="H29" s="17">
        <f>5000+5000+17907.2</f>
        <v>27907.200000000001</v>
      </c>
      <c r="I29" s="45">
        <f>+F29-H29</f>
        <v>0</v>
      </c>
      <c r="J29" s="45">
        <f>+I29*19</f>
        <v>0</v>
      </c>
      <c r="K29" s="9">
        <f>145374-145374</f>
        <v>0</v>
      </c>
      <c r="L29" s="4" t="s">
        <v>16</v>
      </c>
      <c r="M29" s="4" t="s">
        <v>51</v>
      </c>
      <c r="N29" s="4" t="s">
        <v>18</v>
      </c>
    </row>
    <row r="30" spans="1:14" x14ac:dyDescent="0.25">
      <c r="B30" s="41"/>
      <c r="C30" s="8"/>
      <c r="D30" s="44"/>
      <c r="E30" s="8"/>
      <c r="F30" s="45"/>
      <c r="G30" s="49"/>
      <c r="H30" s="17"/>
      <c r="I30" s="45"/>
      <c r="J30" s="45"/>
      <c r="K30" s="9"/>
    </row>
    <row r="31" spans="1:14" x14ac:dyDescent="0.25">
      <c r="A31" s="4">
        <v>15</v>
      </c>
      <c r="B31" s="41" t="s">
        <v>52</v>
      </c>
      <c r="C31" s="8" t="s">
        <v>50</v>
      </c>
      <c r="D31" s="44">
        <v>1.1399999999999999</v>
      </c>
      <c r="E31" s="8">
        <v>24480</v>
      </c>
      <c r="F31" s="45">
        <f t="shared" si="0"/>
        <v>27907.199999999997</v>
      </c>
      <c r="G31" s="42">
        <v>46120</v>
      </c>
      <c r="H31" s="17">
        <f>5000+22907.2</f>
        <v>27907.200000000001</v>
      </c>
      <c r="I31" s="45">
        <f>+F31-H31</f>
        <v>0</v>
      </c>
      <c r="J31" s="45">
        <f>+I31*19</f>
        <v>0</v>
      </c>
      <c r="K31" s="9">
        <f>145374-145374</f>
        <v>0</v>
      </c>
      <c r="L31" s="4" t="s">
        <v>16</v>
      </c>
      <c r="M31" s="4" t="s">
        <v>24</v>
      </c>
      <c r="N31" s="4" t="s">
        <v>18</v>
      </c>
    </row>
    <row r="32" spans="1:14" x14ac:dyDescent="0.25">
      <c r="B32" s="41"/>
      <c r="C32" s="8"/>
      <c r="D32" s="44"/>
      <c r="E32" s="8"/>
      <c r="F32" s="45"/>
      <c r="G32" s="49"/>
      <c r="H32" s="17"/>
      <c r="I32" s="45"/>
      <c r="J32" s="45"/>
      <c r="K32" s="9"/>
    </row>
    <row r="33" spans="1:14" x14ac:dyDescent="0.25">
      <c r="A33" s="4">
        <v>16</v>
      </c>
      <c r="B33" s="41" t="s">
        <v>53</v>
      </c>
      <c r="C33" s="8" t="s">
        <v>54</v>
      </c>
      <c r="D33" s="44">
        <v>1.18</v>
      </c>
      <c r="E33" s="8">
        <v>24480</v>
      </c>
      <c r="F33" s="45">
        <f t="shared" si="0"/>
        <v>28886.399999999998</v>
      </c>
      <c r="G33" s="42">
        <v>46120</v>
      </c>
      <c r="H33" s="17">
        <f>5000+23886.4</f>
        <v>28886.400000000001</v>
      </c>
      <c r="I33" s="45">
        <f>+F33-H33</f>
        <v>0</v>
      </c>
      <c r="J33" s="45">
        <f>+I33*19</f>
        <v>0</v>
      </c>
      <c r="K33" s="9">
        <f>149381-149381</f>
        <v>0</v>
      </c>
      <c r="L33" s="4" t="s">
        <v>16</v>
      </c>
      <c r="M33" s="4" t="s">
        <v>24</v>
      </c>
      <c r="N33" s="4" t="s">
        <v>18</v>
      </c>
    </row>
    <row r="34" spans="1:14" x14ac:dyDescent="0.25">
      <c r="B34" s="41"/>
      <c r="C34" s="8"/>
      <c r="D34" s="44"/>
      <c r="E34" s="8"/>
      <c r="F34" s="45"/>
      <c r="G34" s="49"/>
      <c r="H34" s="17"/>
      <c r="I34" s="45"/>
      <c r="J34" s="45"/>
      <c r="K34" s="9"/>
    </row>
    <row r="35" spans="1:14" x14ac:dyDescent="0.25">
      <c r="A35" s="4">
        <v>17</v>
      </c>
      <c r="B35" s="22" t="s">
        <v>55</v>
      </c>
      <c r="C35" s="18" t="s">
        <v>54</v>
      </c>
      <c r="D35" s="23">
        <v>1.18</v>
      </c>
      <c r="E35" s="18">
        <v>24480</v>
      </c>
      <c r="F35" s="24">
        <f t="shared" si="0"/>
        <v>28886.399999999998</v>
      </c>
      <c r="G35" s="42">
        <v>46120</v>
      </c>
      <c r="H35" s="17">
        <f>5000+28886.4</f>
        <v>33886.400000000001</v>
      </c>
      <c r="I35" s="24">
        <f>+F35-H35</f>
        <v>-5000.0000000000036</v>
      </c>
      <c r="J35" s="24">
        <f>+I35*19</f>
        <v>-95000.000000000073</v>
      </c>
      <c r="K35" s="25">
        <f>149381-149381</f>
        <v>0</v>
      </c>
      <c r="L35" s="26" t="s">
        <v>16</v>
      </c>
      <c r="M35" s="26" t="s">
        <v>24</v>
      </c>
      <c r="N35" s="4" t="s">
        <v>18</v>
      </c>
    </row>
    <row r="36" spans="1:14" x14ac:dyDescent="0.25">
      <c r="H36" s="18"/>
    </row>
    <row r="37" spans="1:14" x14ac:dyDescent="0.25">
      <c r="A37" s="4">
        <v>18</v>
      </c>
      <c r="B37" s="41" t="s">
        <v>56</v>
      </c>
      <c r="C37" s="8" t="s">
        <v>57</v>
      </c>
      <c r="D37" s="44">
        <v>1.1599999999999999</v>
      </c>
      <c r="E37" s="8">
        <v>24480</v>
      </c>
      <c r="F37" s="45">
        <f t="shared" si="0"/>
        <v>28396.799999999999</v>
      </c>
      <c r="G37" s="42">
        <v>46130</v>
      </c>
      <c r="H37" s="17">
        <f>5000+23396.8</f>
        <v>28396.799999999999</v>
      </c>
      <c r="I37" s="45">
        <f>+F37-H37</f>
        <v>0</v>
      </c>
      <c r="J37" s="45">
        <f>+I37*19</f>
        <v>0</v>
      </c>
      <c r="K37" s="9">
        <f>161327-161327</f>
        <v>0</v>
      </c>
      <c r="L37" s="4" t="s">
        <v>16</v>
      </c>
    </row>
    <row r="38" spans="1:14" x14ac:dyDescent="0.25">
      <c r="B38" s="41"/>
      <c r="C38" s="8"/>
      <c r="D38" s="44"/>
      <c r="E38" s="8"/>
      <c r="F38" s="45"/>
      <c r="G38" s="49"/>
      <c r="H38" s="17"/>
      <c r="I38" s="45"/>
      <c r="J38" s="45"/>
      <c r="K38" s="9"/>
    </row>
    <row r="39" spans="1:14" x14ac:dyDescent="0.25">
      <c r="A39" s="4">
        <v>19</v>
      </c>
      <c r="B39" s="41" t="s">
        <v>58</v>
      </c>
      <c r="C39" s="8" t="s">
        <v>57</v>
      </c>
      <c r="D39" s="44">
        <v>1.1599999999999999</v>
      </c>
      <c r="E39" s="8">
        <v>24480</v>
      </c>
      <c r="F39" s="45">
        <f t="shared" si="0"/>
        <v>28396.799999999999</v>
      </c>
      <c r="G39" s="42">
        <v>46130</v>
      </c>
      <c r="H39" s="17">
        <f>5000+23396.8</f>
        <v>28396.799999999999</v>
      </c>
      <c r="I39" s="45">
        <f>+F39-H39</f>
        <v>0</v>
      </c>
      <c r="J39" s="45">
        <f>+I39*19</f>
        <v>0</v>
      </c>
      <c r="K39" s="9">
        <f>161327-161327</f>
        <v>0</v>
      </c>
      <c r="L39" s="4" t="s">
        <v>16</v>
      </c>
    </row>
    <row r="40" spans="1:14" x14ac:dyDescent="0.25">
      <c r="B40" s="41"/>
      <c r="C40" s="8"/>
      <c r="D40" s="44"/>
      <c r="E40" s="8"/>
      <c r="F40" s="45"/>
      <c r="G40" s="49"/>
      <c r="H40" s="17"/>
      <c r="I40" s="45"/>
      <c r="J40" s="45"/>
      <c r="K40" s="9"/>
    </row>
    <row r="41" spans="1:14" x14ac:dyDescent="0.25">
      <c r="A41" s="4">
        <v>20</v>
      </c>
      <c r="B41" s="41" t="s">
        <v>59</v>
      </c>
      <c r="C41" s="8" t="s">
        <v>60</v>
      </c>
      <c r="D41" s="44">
        <v>1.1599999999999999</v>
      </c>
      <c r="E41" s="8">
        <v>24480</v>
      </c>
      <c r="F41" s="45">
        <f t="shared" si="0"/>
        <v>28396.799999999999</v>
      </c>
      <c r="G41" s="42">
        <v>46141</v>
      </c>
      <c r="H41" s="17">
        <f>5000+23396.8</f>
        <v>28396.799999999999</v>
      </c>
      <c r="I41" s="45">
        <f>+F41-H41</f>
        <v>0</v>
      </c>
      <c r="J41" s="45">
        <f>+I41*19</f>
        <v>0</v>
      </c>
      <c r="K41" s="9">
        <f>153351-153351</f>
        <v>0</v>
      </c>
      <c r="L41" s="4" t="s">
        <v>61</v>
      </c>
    </row>
    <row r="42" spans="1:14" x14ac:dyDescent="0.25">
      <c r="B42" s="41"/>
      <c r="C42" s="8"/>
      <c r="D42" s="44"/>
      <c r="E42" s="8"/>
      <c r="F42" s="45"/>
      <c r="G42" s="49"/>
      <c r="H42" s="43"/>
      <c r="I42" s="45"/>
      <c r="J42" s="45"/>
      <c r="K42" s="9"/>
    </row>
    <row r="43" spans="1:14" x14ac:dyDescent="0.25">
      <c r="A43" s="4">
        <v>21</v>
      </c>
      <c r="B43" s="41" t="s">
        <v>62</v>
      </c>
      <c r="C43" s="8" t="s">
        <v>63</v>
      </c>
      <c r="D43" s="44">
        <v>1.17</v>
      </c>
      <c r="E43" s="8">
        <v>24480</v>
      </c>
      <c r="F43" s="45">
        <f t="shared" si="0"/>
        <v>28641.599999999999</v>
      </c>
      <c r="G43" s="42">
        <v>46125</v>
      </c>
      <c r="H43" s="43">
        <f>5000+23641.6</f>
        <v>28641.599999999999</v>
      </c>
      <c r="I43" s="45">
        <f>+F43-H43</f>
        <v>0</v>
      </c>
      <c r="J43" s="45">
        <f>+I43*19</f>
        <v>0</v>
      </c>
      <c r="K43" s="9">
        <f>153677-153677</f>
        <v>0</v>
      </c>
      <c r="L43" s="4" t="s">
        <v>16</v>
      </c>
      <c r="M43" s="4" t="s">
        <v>24</v>
      </c>
      <c r="N43" s="4" t="s">
        <v>64</v>
      </c>
    </row>
    <row r="44" spans="1:14" x14ac:dyDescent="0.25">
      <c r="B44" s="41"/>
      <c r="C44" s="8"/>
      <c r="D44" s="44"/>
      <c r="E44" s="8"/>
      <c r="F44" s="45"/>
      <c r="G44" s="49"/>
      <c r="H44" s="43"/>
      <c r="I44" s="45"/>
      <c r="J44" s="45"/>
      <c r="K44" s="9"/>
    </row>
    <row r="45" spans="1:14" x14ac:dyDescent="0.25">
      <c r="A45" s="4">
        <v>22</v>
      </c>
      <c r="B45" s="41" t="s">
        <v>65</v>
      </c>
      <c r="C45" s="8" t="s">
        <v>66</v>
      </c>
      <c r="D45" s="44">
        <v>1.17</v>
      </c>
      <c r="E45" s="8">
        <v>24480</v>
      </c>
      <c r="F45" s="45">
        <f t="shared" si="0"/>
        <v>28641.599999999999</v>
      </c>
      <c r="G45" s="42">
        <v>46125</v>
      </c>
      <c r="H45" s="43">
        <f>28641.6</f>
        <v>28641.599999999999</v>
      </c>
      <c r="I45" s="45">
        <f>+F45-H45</f>
        <v>0</v>
      </c>
      <c r="J45" s="45">
        <f>+I45*19</f>
        <v>0</v>
      </c>
      <c r="K45" s="9">
        <f>153677-153677</f>
        <v>0</v>
      </c>
      <c r="L45" s="4" t="s">
        <v>16</v>
      </c>
      <c r="M45" s="4" t="s">
        <v>24</v>
      </c>
      <c r="N45" s="4" t="s">
        <v>64</v>
      </c>
    </row>
    <row r="46" spans="1:14" x14ac:dyDescent="0.25">
      <c r="B46" s="41"/>
      <c r="C46" s="8"/>
      <c r="D46" s="44"/>
      <c r="E46" s="8"/>
      <c r="F46" s="45"/>
      <c r="G46" s="49"/>
      <c r="H46" s="43"/>
      <c r="I46" s="45"/>
      <c r="J46" s="45"/>
      <c r="K46" s="9"/>
    </row>
    <row r="47" spans="1:14" x14ac:dyDescent="0.25">
      <c r="A47" s="4">
        <v>23</v>
      </c>
      <c r="B47" s="41" t="s">
        <v>67</v>
      </c>
      <c r="C47" s="8" t="s">
        <v>66</v>
      </c>
      <c r="D47" s="44">
        <v>1.17</v>
      </c>
      <c r="E47" s="8">
        <v>24480</v>
      </c>
      <c r="F47" s="45">
        <f t="shared" si="0"/>
        <v>28641.599999999999</v>
      </c>
      <c r="G47" s="42">
        <v>46125</v>
      </c>
      <c r="H47" s="43">
        <f>5000+10000+13641.6</f>
        <v>28641.599999999999</v>
      </c>
      <c r="I47" s="45">
        <f>+F47-H47</f>
        <v>0</v>
      </c>
      <c r="J47" s="45">
        <f>+I47*19</f>
        <v>0</v>
      </c>
      <c r="K47" s="9">
        <f>153677-153677</f>
        <v>0</v>
      </c>
      <c r="L47" s="4" t="s">
        <v>16</v>
      </c>
      <c r="M47" s="4" t="s">
        <v>24</v>
      </c>
      <c r="N47" s="4" t="s">
        <v>64</v>
      </c>
    </row>
    <row r="48" spans="1:14" x14ac:dyDescent="0.25">
      <c r="B48" s="41"/>
      <c r="C48" s="8"/>
      <c r="D48" s="44"/>
      <c r="E48" s="8"/>
      <c r="F48" s="45"/>
      <c r="G48" s="49"/>
      <c r="H48" s="43"/>
      <c r="I48" s="45"/>
      <c r="J48" s="45"/>
      <c r="K48" s="9"/>
    </row>
    <row r="49" spans="1:14" x14ac:dyDescent="0.25">
      <c r="A49" s="4">
        <v>24</v>
      </c>
      <c r="B49" s="41" t="s">
        <v>68</v>
      </c>
      <c r="C49" s="8" t="s">
        <v>69</v>
      </c>
      <c r="D49" s="44">
        <v>1.0900000000000001</v>
      </c>
      <c r="E49" s="8">
        <v>24480</v>
      </c>
      <c r="F49" s="45">
        <f t="shared" si="0"/>
        <v>26683.200000000001</v>
      </c>
      <c r="G49" s="42">
        <v>46141</v>
      </c>
      <c r="H49" s="43">
        <f>5000+21683.2</f>
        <v>26683.200000000001</v>
      </c>
      <c r="I49" s="45">
        <f>+F49-H49</f>
        <v>0</v>
      </c>
      <c r="J49" s="45">
        <f>+I49*19</f>
        <v>0</v>
      </c>
      <c r="K49" s="9">
        <f>153351-153351</f>
        <v>0</v>
      </c>
      <c r="L49" s="4" t="s">
        <v>70</v>
      </c>
    </row>
    <row r="51" spans="1:14" x14ac:dyDescent="0.25">
      <c r="A51" s="4">
        <v>25</v>
      </c>
      <c r="B51" s="41" t="s">
        <v>71</v>
      </c>
      <c r="C51" s="8" t="s">
        <v>72</v>
      </c>
      <c r="D51" s="44">
        <v>1.0900000000000001</v>
      </c>
      <c r="E51" s="8">
        <v>24480</v>
      </c>
      <c r="F51" s="45">
        <f t="shared" si="0"/>
        <v>26683.200000000001</v>
      </c>
      <c r="G51" s="42">
        <v>46126</v>
      </c>
      <c r="H51" s="43">
        <f>8000+18683.2</f>
        <v>26683.200000000001</v>
      </c>
      <c r="I51" s="45">
        <f>+F51-H51</f>
        <v>0</v>
      </c>
      <c r="J51" s="45">
        <f>+I51*19</f>
        <v>0</v>
      </c>
      <c r="K51" s="9">
        <f>155173-155173</f>
        <v>0</v>
      </c>
      <c r="L51" s="4" t="s">
        <v>16</v>
      </c>
      <c r="M51" s="4" t="s">
        <v>36</v>
      </c>
      <c r="N51" s="4" t="s">
        <v>18</v>
      </c>
    </row>
    <row r="53" spans="1:14" x14ac:dyDescent="0.25">
      <c r="A53" s="4">
        <v>26</v>
      </c>
      <c r="B53" s="41" t="s">
        <v>73</v>
      </c>
      <c r="C53" s="8" t="s">
        <v>74</v>
      </c>
      <c r="D53" s="44">
        <v>1.1399999999999999</v>
      </c>
      <c r="E53" s="8">
        <v>24480</v>
      </c>
      <c r="F53" s="45">
        <f t="shared" si="0"/>
        <v>27907.199999999997</v>
      </c>
      <c r="G53" s="42">
        <v>46135</v>
      </c>
      <c r="H53" s="43">
        <f>8000+500+19407.2</f>
        <v>27907.200000000001</v>
      </c>
      <c r="I53" s="45">
        <f>+F53-H53</f>
        <v>0</v>
      </c>
      <c r="J53" s="45">
        <f>+I53*19</f>
        <v>0</v>
      </c>
      <c r="K53" s="9">
        <f>152169-152169</f>
        <v>0</v>
      </c>
      <c r="L53" s="4" t="s">
        <v>16</v>
      </c>
    </row>
    <row r="55" spans="1:14" x14ac:dyDescent="0.25">
      <c r="A55" s="4">
        <v>27</v>
      </c>
      <c r="B55" s="41" t="s">
        <v>75</v>
      </c>
      <c r="C55" s="8" t="s">
        <v>76</v>
      </c>
      <c r="D55" s="44">
        <v>2.1</v>
      </c>
      <c r="E55" s="8">
        <v>17477.900000000001</v>
      </c>
      <c r="F55" s="45">
        <f>D55*E55</f>
        <v>36703.590000000004</v>
      </c>
      <c r="G55" s="42">
        <v>46126</v>
      </c>
      <c r="H55" s="43">
        <f>10000+15000+11703.59</f>
        <v>36703.589999999997</v>
      </c>
      <c r="I55" s="45">
        <f>+F55-H55</f>
        <v>0</v>
      </c>
      <c r="J55" s="45">
        <f>+I55*19</f>
        <v>0</v>
      </c>
      <c r="K55" s="9">
        <f>322890-322890</f>
        <v>0</v>
      </c>
      <c r="L55" s="4" t="s">
        <v>16</v>
      </c>
      <c r="M55" s="4" t="s">
        <v>36</v>
      </c>
      <c r="N55" s="4" t="s">
        <v>18</v>
      </c>
    </row>
    <row r="57" spans="1:14" x14ac:dyDescent="0.25">
      <c r="A57" s="4">
        <v>28</v>
      </c>
      <c r="B57" s="41" t="s">
        <v>77</v>
      </c>
      <c r="C57" s="8" t="s">
        <v>23</v>
      </c>
      <c r="D57" s="44">
        <v>1.39</v>
      </c>
      <c r="E57" s="8">
        <v>24480</v>
      </c>
      <c r="F57" s="45">
        <f>D57*E57</f>
        <v>34027.199999999997</v>
      </c>
      <c r="G57" s="42">
        <v>46176</v>
      </c>
      <c r="H57" s="43">
        <f>6000+28027.2</f>
        <v>34027.199999999997</v>
      </c>
      <c r="I57" s="45">
        <f>+F57-H57</f>
        <v>0</v>
      </c>
      <c r="J57" s="45">
        <f>+I57*19</f>
        <v>0</v>
      </c>
      <c r="K57" s="9">
        <f>181230-181230</f>
        <v>0</v>
      </c>
      <c r="M57" s="4" t="s">
        <v>24</v>
      </c>
      <c r="N57" s="4" t="s">
        <v>64</v>
      </c>
    </row>
    <row r="58" spans="1:14" ht="15.75" thickBot="1" x14ac:dyDescent="0.3">
      <c r="F58"/>
      <c r="G58" s="30" t="s">
        <v>13</v>
      </c>
      <c r="H58" s="31">
        <v>2400</v>
      </c>
    </row>
    <row r="60" spans="1:14" x14ac:dyDescent="0.25">
      <c r="A60" s="4">
        <v>29</v>
      </c>
      <c r="B60" s="86" t="s">
        <v>78</v>
      </c>
      <c r="C60" s="8" t="s">
        <v>79</v>
      </c>
      <c r="D60" s="44">
        <v>1.83</v>
      </c>
      <c r="E60" s="8">
        <v>18000</v>
      </c>
      <c r="F60" s="45">
        <f>D60*E60</f>
        <v>32940</v>
      </c>
      <c r="G60" s="87">
        <v>46176</v>
      </c>
      <c r="H60" s="84">
        <f>6000+37696.8</f>
        <v>43696.800000000003</v>
      </c>
      <c r="I60" s="82">
        <f>F62-H60</f>
        <v>0</v>
      </c>
      <c r="J60" s="82">
        <f>I60*19</f>
        <v>0</v>
      </c>
      <c r="K60" s="82">
        <f>220789-220789</f>
        <v>0</v>
      </c>
      <c r="M60" s="81" t="s">
        <v>24</v>
      </c>
      <c r="N60" s="81" t="s">
        <v>80</v>
      </c>
    </row>
    <row r="61" spans="1:14" x14ac:dyDescent="0.25">
      <c r="B61" s="86"/>
      <c r="C61" s="8" t="s">
        <v>81</v>
      </c>
      <c r="D61" s="44">
        <v>1.66</v>
      </c>
      <c r="E61" s="8">
        <v>6480</v>
      </c>
      <c r="F61" s="45">
        <f>D61*E61</f>
        <v>10756.8</v>
      </c>
      <c r="G61" s="87"/>
      <c r="H61" s="84"/>
      <c r="I61" s="82"/>
      <c r="J61" s="82"/>
      <c r="K61" s="82"/>
      <c r="M61" s="81"/>
      <c r="N61" s="81"/>
    </row>
    <row r="62" spans="1:14" ht="15.75" thickBot="1" x14ac:dyDescent="0.3">
      <c r="F62" s="20">
        <f>F60+F61</f>
        <v>43696.800000000003</v>
      </c>
    </row>
    <row r="63" spans="1:14" ht="16.5" thickTop="1" thickBot="1" x14ac:dyDescent="0.3">
      <c r="F63"/>
      <c r="G63" s="30" t="s">
        <v>13</v>
      </c>
      <c r="H63" s="31">
        <v>2400</v>
      </c>
    </row>
    <row r="64" spans="1:14" x14ac:dyDescent="0.25">
      <c r="F64"/>
    </row>
    <row r="65" spans="1:14" x14ac:dyDescent="0.25">
      <c r="A65" s="4">
        <v>30</v>
      </c>
      <c r="B65" s="86" t="s">
        <v>82</v>
      </c>
      <c r="C65" s="8" t="s">
        <v>83</v>
      </c>
      <c r="D65" s="44">
        <v>1.47</v>
      </c>
      <c r="E65" s="8">
        <v>12240</v>
      </c>
      <c r="F65" s="45">
        <f>D65*E65</f>
        <v>17992.8</v>
      </c>
      <c r="G65" s="87">
        <v>46200</v>
      </c>
      <c r="H65" s="84">
        <f>6000+29312.4</f>
        <v>35312.400000000001</v>
      </c>
      <c r="I65" s="82">
        <f>F67-H65</f>
        <v>0</v>
      </c>
      <c r="J65" s="82">
        <f>I65*19</f>
        <v>0</v>
      </c>
      <c r="K65" s="82">
        <f>196003-196003</f>
        <v>0</v>
      </c>
      <c r="L65" s="81" t="s">
        <v>16</v>
      </c>
      <c r="M65" s="81" t="s">
        <v>24</v>
      </c>
      <c r="N65" s="81" t="s">
        <v>18</v>
      </c>
    </row>
    <row r="66" spans="1:14" x14ac:dyDescent="0.25">
      <c r="B66" s="86"/>
      <c r="C66" s="8" t="s">
        <v>69</v>
      </c>
      <c r="D66" s="44">
        <v>1.415</v>
      </c>
      <c r="E66" s="8">
        <v>12240</v>
      </c>
      <c r="F66" s="45">
        <f>D66*E66</f>
        <v>17319.600000000002</v>
      </c>
      <c r="G66" s="87"/>
      <c r="H66" s="84"/>
      <c r="I66" s="82"/>
      <c r="J66" s="82"/>
      <c r="K66" s="82"/>
      <c r="L66" s="81"/>
      <c r="M66" s="81"/>
      <c r="N66" s="81"/>
    </row>
    <row r="67" spans="1:14" ht="15.75" thickBot="1" x14ac:dyDescent="0.3">
      <c r="F67" s="20">
        <f>F65+F66</f>
        <v>35312.400000000001</v>
      </c>
    </row>
    <row r="68" spans="1:14" ht="16.5" thickTop="1" thickBot="1" x14ac:dyDescent="0.3">
      <c r="F68"/>
      <c r="G68" s="30" t="s">
        <v>13</v>
      </c>
      <c r="H68" s="31">
        <v>2850</v>
      </c>
    </row>
    <row r="70" spans="1:14" x14ac:dyDescent="0.25">
      <c r="A70" s="4">
        <v>31</v>
      </c>
      <c r="B70" s="86" t="s">
        <v>84</v>
      </c>
      <c r="C70" s="8" t="s">
        <v>85</v>
      </c>
      <c r="D70" s="44">
        <v>1.35</v>
      </c>
      <c r="E70" s="8">
        <v>16164</v>
      </c>
      <c r="F70" s="45">
        <f>D70*E70</f>
        <v>21821.4</v>
      </c>
      <c r="G70" s="87">
        <v>46202</v>
      </c>
      <c r="H70" s="84">
        <f>10000+25848.44</f>
        <v>35848.44</v>
      </c>
      <c r="I70" s="82">
        <f>F73-H70</f>
        <v>0</v>
      </c>
      <c r="J70" s="82">
        <f>+I70*19</f>
        <v>0</v>
      </c>
      <c r="K70" s="82">
        <f>193519-193519</f>
        <v>0</v>
      </c>
    </row>
    <row r="71" spans="1:14" x14ac:dyDescent="0.25">
      <c r="B71" s="86"/>
      <c r="C71" s="8" t="s">
        <v>86</v>
      </c>
      <c r="D71" s="44">
        <v>1.8</v>
      </c>
      <c r="E71" s="8">
        <v>4683.2</v>
      </c>
      <c r="F71" s="45">
        <f>D71*E71</f>
        <v>8429.76</v>
      </c>
      <c r="G71" s="87"/>
      <c r="H71" s="84"/>
      <c r="I71" s="82"/>
      <c r="J71" s="82"/>
      <c r="K71" s="82"/>
    </row>
    <row r="72" spans="1:14" x14ac:dyDescent="0.25">
      <c r="B72" s="86"/>
      <c r="C72" s="8" t="s">
        <v>87</v>
      </c>
      <c r="D72" s="44">
        <v>1.84</v>
      </c>
      <c r="E72" s="8">
        <v>3042</v>
      </c>
      <c r="F72" s="45">
        <f>D72*E72</f>
        <v>5597.2800000000007</v>
      </c>
      <c r="G72" s="87"/>
      <c r="H72" s="84"/>
      <c r="I72" s="82"/>
      <c r="J72" s="82"/>
      <c r="K72" s="82"/>
    </row>
    <row r="73" spans="1:14" ht="15.75" thickBot="1" x14ac:dyDescent="0.3">
      <c r="B73" s="41"/>
      <c r="C73" s="8"/>
      <c r="D73" s="44"/>
      <c r="E73" s="8"/>
      <c r="F73" s="20">
        <f>F70+F71+F72</f>
        <v>35848.44</v>
      </c>
      <c r="G73" s="49"/>
      <c r="H73" s="43"/>
      <c r="I73" s="45"/>
      <c r="J73" s="45"/>
      <c r="K73" s="9"/>
    </row>
    <row r="74" spans="1:14" ht="16.5" thickTop="1" thickBot="1" x14ac:dyDescent="0.3">
      <c r="F74"/>
      <c r="G74" s="30" t="s">
        <v>13</v>
      </c>
      <c r="H74" s="31">
        <v>4900</v>
      </c>
      <c r="I74" s="52" t="s">
        <v>18</v>
      </c>
    </row>
    <row r="76" spans="1:14" x14ac:dyDescent="0.25">
      <c r="A76" s="4">
        <v>32</v>
      </c>
      <c r="B76" s="41" t="s">
        <v>88</v>
      </c>
      <c r="C76" s="8" t="s">
        <v>89</v>
      </c>
      <c r="D76" s="44">
        <v>1.46</v>
      </c>
      <c r="E76" s="8">
        <v>24480</v>
      </c>
      <c r="F76" s="45">
        <f>D76*E76</f>
        <v>35740.799999999996</v>
      </c>
      <c r="G76" s="42">
        <v>46191</v>
      </c>
      <c r="H76" s="43">
        <f>10722.24+25018.56</f>
        <v>35740.800000000003</v>
      </c>
      <c r="I76" s="45">
        <f>+F76-H76</f>
        <v>0</v>
      </c>
      <c r="J76" s="45">
        <f>+I76*19</f>
        <v>0</v>
      </c>
      <c r="K76" s="9">
        <f>187650-180500-7150</f>
        <v>0</v>
      </c>
    </row>
    <row r="78" spans="1:14" x14ac:dyDescent="0.25">
      <c r="A78" s="4">
        <v>33</v>
      </c>
      <c r="B78" s="41" t="s">
        <v>90</v>
      </c>
      <c r="C78" s="8" t="s">
        <v>54</v>
      </c>
      <c r="D78" s="44">
        <v>1.38</v>
      </c>
      <c r="E78" s="8">
        <v>24480</v>
      </c>
      <c r="F78" s="45">
        <f t="shared" ref="F78" si="1">D78*E78</f>
        <v>33782.399999999994</v>
      </c>
      <c r="G78" s="42">
        <v>46200</v>
      </c>
      <c r="H78" s="43">
        <f>6000+27782.4</f>
        <v>33782.400000000001</v>
      </c>
      <c r="I78" s="45">
        <f t="shared" ref="I78" si="2">+F78-H78</f>
        <v>0</v>
      </c>
      <c r="J78" s="45">
        <f t="shared" ref="J78" si="3">+I78*19</f>
        <v>0</v>
      </c>
      <c r="K78" s="9">
        <f>189396-189396</f>
        <v>0</v>
      </c>
    </row>
    <row r="79" spans="1:14" ht="15.75" thickBot="1" x14ac:dyDescent="0.3">
      <c r="F79"/>
      <c r="G79" s="30" t="s">
        <v>13</v>
      </c>
      <c r="H79" s="31">
        <v>2850</v>
      </c>
    </row>
    <row r="81" spans="1:14" x14ac:dyDescent="0.25">
      <c r="A81" s="4">
        <v>34</v>
      </c>
      <c r="B81" s="41" t="s">
        <v>91</v>
      </c>
      <c r="C81" s="8" t="s">
        <v>54</v>
      </c>
      <c r="D81" s="44">
        <v>1.38</v>
      </c>
      <c r="E81" s="8">
        <v>24480</v>
      </c>
      <c r="F81" s="45">
        <f>D81*E81</f>
        <v>33782.399999999994</v>
      </c>
      <c r="G81" s="80">
        <v>46254</v>
      </c>
      <c r="H81" s="43">
        <v>7000</v>
      </c>
      <c r="I81" s="45">
        <f>+F81-H81</f>
        <v>26782.399999999994</v>
      </c>
      <c r="J81" s="45">
        <f>+I81*19</f>
        <v>508865.59999999986</v>
      </c>
      <c r="K81" s="9">
        <f>185061-185061</f>
        <v>0</v>
      </c>
    </row>
    <row r="82" spans="1:14" ht="15.75" thickBot="1" x14ac:dyDescent="0.3">
      <c r="B82" s="41"/>
      <c r="C82" s="8"/>
      <c r="D82" s="44"/>
      <c r="E82" s="8"/>
      <c r="F82" s="45"/>
      <c r="G82" s="30" t="s">
        <v>13</v>
      </c>
      <c r="H82" s="31">
        <v>4900</v>
      </c>
      <c r="I82" s="52" t="s">
        <v>214</v>
      </c>
      <c r="J82" s="45"/>
      <c r="K82" s="9"/>
    </row>
    <row r="84" spans="1:14" x14ac:dyDescent="0.25">
      <c r="A84" s="4">
        <v>35</v>
      </c>
      <c r="B84" s="41" t="s">
        <v>92</v>
      </c>
      <c r="C84" s="8" t="s">
        <v>69</v>
      </c>
      <c r="D84" s="44">
        <v>1.32</v>
      </c>
      <c r="E84" s="8">
        <v>24480</v>
      </c>
      <c r="F84" s="45">
        <f t="shared" ref="F84:F86" si="4">D84*E84</f>
        <v>32313.600000000002</v>
      </c>
      <c r="G84" s="42">
        <v>46198</v>
      </c>
      <c r="H84" s="43">
        <f>7000+25313.6</f>
        <v>32313.599999999999</v>
      </c>
      <c r="I84" s="45">
        <f t="shared" ref="I84:I86" si="5">+F84-H84</f>
        <v>0</v>
      </c>
      <c r="J84" s="45">
        <f t="shared" ref="J84:J86" si="6">+I84*19</f>
        <v>0</v>
      </c>
      <c r="K84" s="9">
        <f>182126-182126</f>
        <v>0</v>
      </c>
    </row>
    <row r="85" spans="1:14" x14ac:dyDescent="0.25">
      <c r="B85" s="41"/>
      <c r="C85" s="8"/>
      <c r="D85" s="44"/>
      <c r="E85" s="8"/>
      <c r="F85" s="45"/>
      <c r="G85" s="39"/>
      <c r="H85" s="43"/>
      <c r="I85" s="45"/>
      <c r="J85" s="45"/>
      <c r="K85" s="9"/>
    </row>
    <row r="86" spans="1:14" x14ac:dyDescent="0.25">
      <c r="A86" s="4">
        <v>36</v>
      </c>
      <c r="B86" s="41" t="s">
        <v>93</v>
      </c>
      <c r="C86" s="8" t="s">
        <v>69</v>
      </c>
      <c r="D86" s="44">
        <v>1.32</v>
      </c>
      <c r="E86" s="8">
        <v>24480</v>
      </c>
      <c r="F86" s="45">
        <f t="shared" si="4"/>
        <v>32313.600000000002</v>
      </c>
      <c r="G86" s="39"/>
      <c r="H86" s="43"/>
      <c r="I86" s="45">
        <f t="shared" si="5"/>
        <v>32313.600000000002</v>
      </c>
      <c r="J86" s="45">
        <f t="shared" si="6"/>
        <v>613958.40000000002</v>
      </c>
      <c r="K86" s="9">
        <v>0</v>
      </c>
    </row>
    <row r="88" spans="1:14" x14ac:dyDescent="0.25">
      <c r="A88" s="4">
        <v>37</v>
      </c>
      <c r="B88" s="41" t="s">
        <v>94</v>
      </c>
      <c r="C88" s="8" t="s">
        <v>47</v>
      </c>
      <c r="D88" s="44">
        <v>1.33</v>
      </c>
      <c r="E88" s="8">
        <v>21888</v>
      </c>
      <c r="F88" s="45">
        <f t="shared" ref="F88" si="7">D88*E88</f>
        <v>29111.040000000001</v>
      </c>
      <c r="G88" s="39"/>
      <c r="H88" s="43">
        <v>9000</v>
      </c>
      <c r="I88" s="45">
        <f t="shared" ref="I88" si="8">+F88-H88</f>
        <v>20111.04</v>
      </c>
      <c r="J88" s="45">
        <f t="shared" ref="J88" si="9">+I88*19</f>
        <v>382109.76</v>
      </c>
      <c r="K88" s="9">
        <v>0</v>
      </c>
    </row>
    <row r="90" spans="1:14" x14ac:dyDescent="0.25">
      <c r="A90" s="4">
        <v>39</v>
      </c>
      <c r="B90" s="41" t="s">
        <v>213</v>
      </c>
      <c r="C90" s="8" t="s">
        <v>50</v>
      </c>
      <c r="D90" s="44">
        <v>1.365</v>
      </c>
      <c r="E90" s="8">
        <v>24480</v>
      </c>
      <c r="F90" s="45">
        <f t="shared" ref="F90" si="10">D90*E90</f>
        <v>33415.199999999997</v>
      </c>
      <c r="G90" s="49">
        <v>46269</v>
      </c>
      <c r="H90" s="17">
        <v>7000</v>
      </c>
      <c r="I90" s="45">
        <f t="shared" ref="I90" si="11">+F90-H90</f>
        <v>26415.199999999997</v>
      </c>
      <c r="J90" s="45">
        <f t="shared" ref="J90" si="12">+I90*19</f>
        <v>501888.79999999993</v>
      </c>
      <c r="K90" s="9">
        <v>0</v>
      </c>
    </row>
    <row r="91" spans="1:14" ht="15.75" thickBot="1" x14ac:dyDescent="0.3">
      <c r="B91" s="41"/>
      <c r="C91" s="8"/>
      <c r="D91" s="44"/>
      <c r="E91" s="8"/>
      <c r="F91" s="45"/>
      <c r="G91" s="30" t="s">
        <v>13</v>
      </c>
      <c r="H91" s="38">
        <v>4700</v>
      </c>
      <c r="I91" s="52" t="s">
        <v>18</v>
      </c>
      <c r="J91" s="45"/>
      <c r="K91" s="9"/>
    </row>
    <row r="92" spans="1:14" x14ac:dyDescent="0.25">
      <c r="H92" s="32"/>
    </row>
    <row r="93" spans="1:14" x14ac:dyDescent="0.25">
      <c r="A93" s="4">
        <v>40</v>
      </c>
      <c r="B93" s="41" t="s">
        <v>217</v>
      </c>
      <c r="C93" s="8" t="s">
        <v>69</v>
      </c>
      <c r="D93" s="44">
        <v>1.2649999999999999</v>
      </c>
      <c r="E93" s="8">
        <v>24480</v>
      </c>
      <c r="F93" s="45">
        <f>D93*E93</f>
        <v>30967.199999999997</v>
      </c>
      <c r="G93" s="39"/>
      <c r="H93" s="17">
        <f>10000+2750</f>
        <v>12750</v>
      </c>
      <c r="I93" s="45">
        <f>+F93-H93</f>
        <v>18217.199999999997</v>
      </c>
      <c r="J93" s="45">
        <f>+I93*19</f>
        <v>346126.79999999993</v>
      </c>
      <c r="K93" s="9">
        <v>0</v>
      </c>
    </row>
    <row r="95" spans="1:14" x14ac:dyDescent="0.25">
      <c r="A95" s="4">
        <v>41</v>
      </c>
      <c r="B95" s="41" t="s">
        <v>95</v>
      </c>
      <c r="C95" s="8" t="s">
        <v>50</v>
      </c>
      <c r="D95" s="44">
        <v>1.365</v>
      </c>
      <c r="E95" s="8">
        <v>24480</v>
      </c>
      <c r="F95" s="45">
        <f t="shared" ref="F95" si="13">D95*E95</f>
        <v>33415.199999999997</v>
      </c>
      <c r="G95" s="42">
        <v>46244</v>
      </c>
      <c r="H95" s="43">
        <f>7000+6000+20145.2+270</f>
        <v>33415.199999999997</v>
      </c>
      <c r="I95" s="45">
        <f t="shared" ref="I95" si="14">+F95-H95</f>
        <v>0</v>
      </c>
      <c r="J95" s="45">
        <f t="shared" ref="J95" si="15">+I95*19</f>
        <v>0</v>
      </c>
      <c r="K95" s="9">
        <f>193419-193419</f>
        <v>0</v>
      </c>
      <c r="L95" s="4" t="s">
        <v>16</v>
      </c>
      <c r="M95" s="4" t="s">
        <v>24</v>
      </c>
      <c r="N95" s="4" t="s">
        <v>18</v>
      </c>
    </row>
    <row r="96" spans="1:14" ht="15.75" thickBot="1" x14ac:dyDescent="0.3">
      <c r="B96" s="41"/>
      <c r="C96" s="8"/>
      <c r="D96" s="44"/>
      <c r="E96" s="8"/>
      <c r="F96" s="45"/>
      <c r="G96" s="30" t="s">
        <v>13</v>
      </c>
      <c r="H96" s="38">
        <v>5800</v>
      </c>
      <c r="I96" s="52" t="s">
        <v>18</v>
      </c>
      <c r="J96" s="45"/>
      <c r="K96" s="9"/>
    </row>
    <row r="98" spans="1:14" x14ac:dyDescent="0.25">
      <c r="A98" s="81">
        <v>42</v>
      </c>
      <c r="B98" s="86" t="s">
        <v>96</v>
      </c>
      <c r="C98" s="8" t="s">
        <v>97</v>
      </c>
      <c r="D98" s="44">
        <v>1.31</v>
      </c>
      <c r="E98" s="8">
        <v>12240</v>
      </c>
      <c r="F98" s="45">
        <f t="shared" ref="F98:F99" si="16">D98*E98</f>
        <v>16034.400000000001</v>
      </c>
      <c r="G98" s="87">
        <v>46247</v>
      </c>
      <c r="H98" s="84">
        <f>7000+24946.4</f>
        <v>31946.400000000001</v>
      </c>
      <c r="I98" s="82">
        <f>F100-H98</f>
        <v>0</v>
      </c>
      <c r="J98" s="82">
        <f t="shared" ref="J98" si="17">+I98*19</f>
        <v>0</v>
      </c>
      <c r="K98" s="82">
        <f>186101-186101</f>
        <v>0</v>
      </c>
      <c r="L98" s="4" t="s">
        <v>16</v>
      </c>
      <c r="M98" s="4" t="s">
        <v>24</v>
      </c>
      <c r="N98" s="4" t="s">
        <v>64</v>
      </c>
    </row>
    <row r="99" spans="1:14" x14ac:dyDescent="0.25">
      <c r="A99" s="81"/>
      <c r="B99" s="86"/>
      <c r="C99" s="8" t="s">
        <v>98</v>
      </c>
      <c r="D99" s="44">
        <v>1.3</v>
      </c>
      <c r="E99" s="8">
        <v>12240</v>
      </c>
      <c r="F99" s="45">
        <f t="shared" si="16"/>
        <v>15912</v>
      </c>
      <c r="G99" s="87"/>
      <c r="H99" s="84"/>
      <c r="I99" s="82"/>
      <c r="J99" s="82"/>
      <c r="K99" s="82"/>
    </row>
    <row r="100" spans="1:14" ht="15.75" thickBot="1" x14ac:dyDescent="0.3">
      <c r="F100" s="20">
        <f>+F98+F99</f>
        <v>31946.400000000001</v>
      </c>
    </row>
    <row r="101" spans="1:14" ht="16.5" thickTop="1" thickBot="1" x14ac:dyDescent="0.3">
      <c r="F101"/>
      <c r="G101" s="30" t="s">
        <v>13</v>
      </c>
      <c r="H101" s="38">
        <v>5500</v>
      </c>
      <c r="I101" s="52" t="s">
        <v>214</v>
      </c>
    </row>
    <row r="103" spans="1:14" x14ac:dyDescent="0.25">
      <c r="A103" s="4">
        <v>43</v>
      </c>
      <c r="B103" s="41" t="s">
        <v>99</v>
      </c>
      <c r="C103" s="8" t="s">
        <v>42</v>
      </c>
      <c r="D103" s="44">
        <v>2.4300000000000002</v>
      </c>
      <c r="E103" s="8">
        <v>20608.3</v>
      </c>
      <c r="F103" s="45">
        <f t="shared" ref="F103" si="18">D103*E103</f>
        <v>50078.169000000002</v>
      </c>
      <c r="G103" s="42">
        <v>46230</v>
      </c>
      <c r="H103" s="43">
        <f>10000+40078.17</f>
        <v>50078.17</v>
      </c>
      <c r="I103" s="45">
        <f t="shared" ref="I103" si="19">+F103-H103</f>
        <v>-9.9999999656574801E-4</v>
      </c>
      <c r="J103" s="51">
        <f>I103*19</f>
        <v>-1.8999999934749212E-2</v>
      </c>
      <c r="K103" s="45">
        <f>449803-449803</f>
        <v>0</v>
      </c>
    </row>
    <row r="104" spans="1:14" ht="15.75" thickBot="1" x14ac:dyDescent="0.3">
      <c r="B104" s="41"/>
      <c r="G104" s="30" t="s">
        <v>13</v>
      </c>
      <c r="H104" s="38">
        <v>5800</v>
      </c>
      <c r="I104" s="52" t="s">
        <v>18</v>
      </c>
    </row>
    <row r="105" spans="1:14" x14ac:dyDescent="0.25">
      <c r="B105" s="41"/>
    </row>
    <row r="106" spans="1:14" x14ac:dyDescent="0.25">
      <c r="A106" s="4">
        <v>44</v>
      </c>
      <c r="B106" s="41" t="s">
        <v>100</v>
      </c>
      <c r="C106" s="8" t="s">
        <v>42</v>
      </c>
      <c r="D106" s="44">
        <v>2.42</v>
      </c>
      <c r="E106" s="8">
        <v>20399.7</v>
      </c>
      <c r="F106" s="45">
        <f t="shared" ref="F106" si="20">D106*E106</f>
        <v>49367.273999999998</v>
      </c>
      <c r="G106" s="49">
        <v>46264</v>
      </c>
      <c r="I106" s="45">
        <f t="shared" ref="I106" si="21">+F106-H106</f>
        <v>49367.273999999998</v>
      </c>
      <c r="J106" s="45">
        <f t="shared" ref="J106" si="22">+I106*19</f>
        <v>937978.20600000001</v>
      </c>
      <c r="K106" s="9">
        <f>450663</f>
        <v>450663</v>
      </c>
    </row>
    <row r="107" spans="1:14" ht="15.75" thickBot="1" x14ac:dyDescent="0.3">
      <c r="B107" s="41"/>
      <c r="C107" s="8"/>
      <c r="D107" s="44"/>
      <c r="E107" s="8"/>
      <c r="F107" s="45"/>
      <c r="G107" s="30" t="s">
        <v>13</v>
      </c>
      <c r="H107" s="38">
        <v>4500</v>
      </c>
      <c r="I107" s="52" t="s">
        <v>18</v>
      </c>
      <c r="J107" s="45"/>
      <c r="K107" s="9"/>
    </row>
    <row r="108" spans="1:14" x14ac:dyDescent="0.25">
      <c r="B108" s="41"/>
    </row>
    <row r="109" spans="1:14" x14ac:dyDescent="0.25">
      <c r="A109" s="4">
        <v>45</v>
      </c>
      <c r="B109" s="41" t="s">
        <v>101</v>
      </c>
      <c r="C109" s="8" t="s">
        <v>42</v>
      </c>
      <c r="D109" s="44">
        <v>2.4300000000000002</v>
      </c>
      <c r="E109" s="8">
        <v>19521.7</v>
      </c>
      <c r="F109" s="45">
        <f t="shared" ref="F109" si="23">D109*E109</f>
        <v>47437.731000000007</v>
      </c>
      <c r="G109" s="49">
        <v>46264</v>
      </c>
      <c r="I109" s="45">
        <f t="shared" ref="I109" si="24">+F109-H109</f>
        <v>47437.731000000007</v>
      </c>
      <c r="J109" s="45">
        <f t="shared" ref="J109" si="25">+I109*19</f>
        <v>901316.88900000008</v>
      </c>
      <c r="K109" s="9">
        <f>434268</f>
        <v>434268</v>
      </c>
    </row>
    <row r="110" spans="1:14" ht="15.75" thickBot="1" x14ac:dyDescent="0.3">
      <c r="B110" s="41"/>
      <c r="C110" s="8"/>
      <c r="D110" s="44"/>
      <c r="E110" s="8"/>
      <c r="F110" s="45"/>
      <c r="G110" s="30" t="s">
        <v>13</v>
      </c>
      <c r="H110" s="38">
        <v>4500</v>
      </c>
      <c r="I110" s="52" t="s">
        <v>18</v>
      </c>
      <c r="J110" s="45"/>
      <c r="K110" s="9"/>
    </row>
    <row r="111" spans="1:14" x14ac:dyDescent="0.25">
      <c r="B111" s="41"/>
    </row>
    <row r="112" spans="1:14" x14ac:dyDescent="0.25">
      <c r="A112" s="4">
        <v>46</v>
      </c>
      <c r="B112" s="41" t="s">
        <v>102</v>
      </c>
      <c r="C112" s="8" t="s">
        <v>42</v>
      </c>
      <c r="D112" s="44">
        <v>2.2000000000000002</v>
      </c>
      <c r="E112" s="8">
        <v>20000</v>
      </c>
      <c r="F112" s="45">
        <f t="shared" ref="F112" si="26">D112*E112</f>
        <v>44000</v>
      </c>
      <c r="G112" s="28"/>
      <c r="I112" s="45">
        <f t="shared" ref="I112" si="27">+F112-H112</f>
        <v>44000</v>
      </c>
      <c r="J112" s="45">
        <f t="shared" ref="J112" si="28">+I112*19</f>
        <v>836000</v>
      </c>
      <c r="K112" s="9">
        <v>0</v>
      </c>
    </row>
    <row r="113" spans="1:14" x14ac:dyDescent="0.25">
      <c r="B113" s="41"/>
    </row>
    <row r="114" spans="1:14" x14ac:dyDescent="0.25">
      <c r="A114" s="4">
        <v>47</v>
      </c>
      <c r="B114" s="86" t="s">
        <v>207</v>
      </c>
      <c r="C114" s="8" t="s">
        <v>40</v>
      </c>
      <c r="D114" s="44">
        <v>2.4500000000000002</v>
      </c>
      <c r="E114" s="8">
        <v>4884.7</v>
      </c>
      <c r="F114" s="45">
        <f t="shared" ref="F114:F116" si="29">D114*E114</f>
        <v>11967.515000000001</v>
      </c>
      <c r="G114" s="85">
        <v>46236</v>
      </c>
      <c r="H114" s="84">
        <v>10000</v>
      </c>
      <c r="I114" s="82">
        <f>F117-H114</f>
        <v>35671</v>
      </c>
      <c r="J114" s="82">
        <f>I114*19</f>
        <v>677749</v>
      </c>
      <c r="K114" s="84">
        <f>397636-397636</f>
        <v>0</v>
      </c>
    </row>
    <row r="115" spans="1:14" x14ac:dyDescent="0.25">
      <c r="B115" s="86"/>
      <c r="C115" s="8" t="s">
        <v>39</v>
      </c>
      <c r="D115" s="44">
        <v>2.4500000000000002</v>
      </c>
      <c r="E115" s="8">
        <v>5073</v>
      </c>
      <c r="F115" s="45">
        <f t="shared" si="29"/>
        <v>12428.85</v>
      </c>
      <c r="G115" s="85"/>
      <c r="H115" s="84"/>
      <c r="I115" s="83"/>
      <c r="J115" s="83"/>
      <c r="K115" s="84"/>
    </row>
    <row r="116" spans="1:14" x14ac:dyDescent="0.25">
      <c r="B116" s="86"/>
      <c r="C116" s="8" t="s">
        <v>212</v>
      </c>
      <c r="D116" s="44">
        <v>2.4500000000000002</v>
      </c>
      <c r="E116" s="8">
        <v>8683.2999999999993</v>
      </c>
      <c r="F116" s="45">
        <f t="shared" si="29"/>
        <v>21274.084999999999</v>
      </c>
      <c r="G116" s="85"/>
      <c r="H116" s="84"/>
      <c r="I116" s="83"/>
      <c r="J116" s="83"/>
      <c r="K116" s="84"/>
    </row>
    <row r="117" spans="1:14" ht="15.75" thickBot="1" x14ac:dyDescent="0.3">
      <c r="B117" s="41"/>
      <c r="F117" s="20">
        <v>45671</v>
      </c>
      <c r="G117" s="30" t="s">
        <v>13</v>
      </c>
      <c r="H117" s="38">
        <v>6300</v>
      </c>
      <c r="I117" s="52" t="s">
        <v>18</v>
      </c>
    </row>
    <row r="118" spans="1:14" ht="15.75" thickTop="1" x14ac:dyDescent="0.25">
      <c r="B118" s="41"/>
    </row>
    <row r="119" spans="1:14" x14ac:dyDescent="0.25">
      <c r="A119" s="4">
        <v>48</v>
      </c>
      <c r="B119" s="41" t="s">
        <v>209</v>
      </c>
      <c r="C119" s="8" t="s">
        <v>39</v>
      </c>
      <c r="D119" s="44">
        <v>2.69</v>
      </c>
      <c r="E119" s="8">
        <v>4957.8</v>
      </c>
      <c r="F119" s="45">
        <f t="shared" ref="F119:F121" si="30">D119*E119</f>
        <v>13336.482</v>
      </c>
      <c r="G119" s="85">
        <v>46247</v>
      </c>
      <c r="H119" s="84">
        <f>10000</f>
        <v>10000</v>
      </c>
      <c r="I119" s="82">
        <f>F122-H119</f>
        <v>51174</v>
      </c>
      <c r="J119" s="82">
        <f>I119*19</f>
        <v>972306</v>
      </c>
      <c r="K119" s="84">
        <f>511904-511904</f>
        <v>0</v>
      </c>
      <c r="L119" s="4" t="s">
        <v>16</v>
      </c>
      <c r="M119" s="4" t="s">
        <v>36</v>
      </c>
      <c r="N119" s="4" t="s">
        <v>64</v>
      </c>
    </row>
    <row r="120" spans="1:14" x14ac:dyDescent="0.25">
      <c r="B120" s="41"/>
      <c r="C120" s="8" t="s">
        <v>210</v>
      </c>
      <c r="D120" s="44">
        <v>2.69</v>
      </c>
      <c r="E120" s="8">
        <v>8024.1</v>
      </c>
      <c r="F120" s="45">
        <f t="shared" si="30"/>
        <v>21584.829000000002</v>
      </c>
      <c r="G120" s="85"/>
      <c r="H120" s="84"/>
      <c r="I120" s="83"/>
      <c r="J120" s="83"/>
      <c r="K120" s="84"/>
    </row>
    <row r="121" spans="1:14" x14ac:dyDescent="0.25">
      <c r="B121" s="41"/>
      <c r="C121" s="8" t="s">
        <v>42</v>
      </c>
      <c r="D121" s="44">
        <v>2.69</v>
      </c>
      <c r="E121" s="8">
        <v>9759.2000000000007</v>
      </c>
      <c r="F121" s="45">
        <f t="shared" si="30"/>
        <v>26252.248000000003</v>
      </c>
      <c r="G121" s="85"/>
      <c r="H121" s="84"/>
      <c r="I121" s="83"/>
      <c r="J121" s="83"/>
      <c r="K121" s="84"/>
    </row>
    <row r="122" spans="1:14" ht="15.75" thickBot="1" x14ac:dyDescent="0.3">
      <c r="B122" s="41"/>
      <c r="F122" s="20">
        <v>61174</v>
      </c>
    </row>
    <row r="123" spans="1:14" ht="16.5" thickTop="1" thickBot="1" x14ac:dyDescent="0.3">
      <c r="B123" s="41"/>
      <c r="F123"/>
      <c r="G123" s="30" t="s">
        <v>13</v>
      </c>
      <c r="H123" s="38">
        <v>4500</v>
      </c>
      <c r="I123" s="52" t="s">
        <v>18</v>
      </c>
    </row>
    <row r="124" spans="1:14" x14ac:dyDescent="0.25">
      <c r="B124" s="41"/>
    </row>
    <row r="125" spans="1:14" x14ac:dyDescent="0.25">
      <c r="A125" s="4">
        <v>49</v>
      </c>
      <c r="B125" s="86" t="s">
        <v>211</v>
      </c>
      <c r="C125" s="8" t="s">
        <v>212</v>
      </c>
      <c r="D125" s="44">
        <v>2.44</v>
      </c>
      <c r="E125" s="8">
        <v>8636.1</v>
      </c>
      <c r="F125" s="45">
        <f t="shared" ref="F125:F127" si="31">D125*E125</f>
        <v>21072.083999999999</v>
      </c>
      <c r="G125" s="85">
        <v>46236</v>
      </c>
      <c r="H125" s="84">
        <v>10000</v>
      </c>
      <c r="I125" s="82">
        <f>F128-H125</f>
        <v>36059.635999999999</v>
      </c>
      <c r="J125" s="81"/>
      <c r="K125" s="82">
        <f>422533-422533</f>
        <v>0</v>
      </c>
    </row>
    <row r="126" spans="1:14" x14ac:dyDescent="0.25">
      <c r="B126" s="86"/>
      <c r="C126" s="8" t="s">
        <v>40</v>
      </c>
      <c r="D126" s="44">
        <v>2.44</v>
      </c>
      <c r="E126" s="8">
        <v>5175.1000000000004</v>
      </c>
      <c r="F126" s="45">
        <f t="shared" si="31"/>
        <v>12627.244000000001</v>
      </c>
      <c r="G126" s="85"/>
      <c r="H126" s="84"/>
      <c r="I126" s="83"/>
      <c r="J126" s="81"/>
      <c r="K126" s="82"/>
    </row>
    <row r="127" spans="1:14" x14ac:dyDescent="0.25">
      <c r="B127" s="86"/>
      <c r="C127" s="8" t="s">
        <v>39</v>
      </c>
      <c r="D127" s="44">
        <v>2.44</v>
      </c>
      <c r="E127" s="8">
        <v>5065.7</v>
      </c>
      <c r="F127" s="45">
        <f t="shared" si="31"/>
        <v>12360.307999999999</v>
      </c>
      <c r="G127" s="85"/>
      <c r="H127" s="84"/>
      <c r="I127" s="83"/>
      <c r="J127" s="81"/>
      <c r="K127" s="82"/>
    </row>
    <row r="128" spans="1:14" ht="15.75" thickBot="1" x14ac:dyDescent="0.3">
      <c r="B128" s="41"/>
      <c r="F128" s="20">
        <f>SUM(F125:F127)</f>
        <v>46059.635999999999</v>
      </c>
      <c r="G128" s="40"/>
      <c r="K128" s="9"/>
    </row>
    <row r="129" spans="1:14" ht="16.5" thickTop="1" thickBot="1" x14ac:dyDescent="0.3">
      <c r="G129" s="30" t="s">
        <v>13</v>
      </c>
      <c r="H129" s="38">
        <v>5800</v>
      </c>
      <c r="I129" s="52" t="s">
        <v>18</v>
      </c>
    </row>
    <row r="130" spans="1:14" x14ac:dyDescent="0.25">
      <c r="G130"/>
      <c r="H130"/>
    </row>
    <row r="131" spans="1:14" x14ac:dyDescent="0.25">
      <c r="A131" s="4">
        <v>50</v>
      </c>
      <c r="B131" s="86" t="s">
        <v>103</v>
      </c>
      <c r="C131" s="8" t="s">
        <v>104</v>
      </c>
      <c r="D131" s="35">
        <v>1.24</v>
      </c>
      <c r="E131" s="8">
        <v>6000</v>
      </c>
      <c r="F131" s="45">
        <f t="shared" ref="F131:F136" si="32">D131*E131</f>
        <v>7440</v>
      </c>
      <c r="G131" s="89"/>
      <c r="H131" s="84">
        <v>11500</v>
      </c>
      <c r="I131" s="82">
        <f>F137-H131</f>
        <v>26180</v>
      </c>
      <c r="J131" s="82">
        <f>I131*19</f>
        <v>497420</v>
      </c>
      <c r="K131" s="84">
        <v>0</v>
      </c>
      <c r="L131" s="83"/>
      <c r="M131" s="83"/>
      <c r="N131" s="83"/>
    </row>
    <row r="132" spans="1:14" x14ac:dyDescent="0.25">
      <c r="B132" s="86"/>
      <c r="C132" s="8" t="s">
        <v>105</v>
      </c>
      <c r="D132" s="35">
        <v>2.04</v>
      </c>
      <c r="E132" s="8">
        <v>3000</v>
      </c>
      <c r="F132" s="45">
        <f t="shared" si="32"/>
        <v>6120</v>
      </c>
      <c r="G132" s="89"/>
      <c r="H132" s="84"/>
      <c r="I132" s="83"/>
      <c r="J132" s="83"/>
      <c r="K132" s="84"/>
      <c r="L132" s="83"/>
      <c r="M132" s="83"/>
      <c r="N132" s="83"/>
    </row>
    <row r="133" spans="1:14" x14ac:dyDescent="0.25">
      <c r="B133" s="86"/>
      <c r="C133" s="8" t="s">
        <v>106</v>
      </c>
      <c r="D133" s="35">
        <v>1.99</v>
      </c>
      <c r="E133" s="8">
        <v>3000</v>
      </c>
      <c r="F133" s="45">
        <f t="shared" si="32"/>
        <v>5970</v>
      </c>
      <c r="G133" s="89"/>
      <c r="H133" s="84"/>
      <c r="I133" s="83"/>
      <c r="J133" s="83"/>
      <c r="K133" s="84"/>
      <c r="L133" s="83"/>
      <c r="M133" s="83"/>
      <c r="N133" s="83"/>
    </row>
    <row r="134" spans="1:14" x14ac:dyDescent="0.25">
      <c r="B134" s="86"/>
      <c r="C134" s="8" t="s">
        <v>107</v>
      </c>
      <c r="D134" s="35">
        <v>1.74</v>
      </c>
      <c r="E134" s="8">
        <v>3000</v>
      </c>
      <c r="F134" s="45">
        <f t="shared" si="32"/>
        <v>5220</v>
      </c>
      <c r="G134" s="89"/>
      <c r="H134" s="84"/>
      <c r="I134" s="83"/>
      <c r="J134" s="83"/>
      <c r="K134" s="84"/>
      <c r="L134" s="83"/>
      <c r="M134" s="83"/>
      <c r="N134" s="83"/>
    </row>
    <row r="135" spans="1:14" x14ac:dyDescent="0.25">
      <c r="B135" s="86"/>
      <c r="C135" s="8" t="s">
        <v>108</v>
      </c>
      <c r="D135" s="35">
        <v>1.71</v>
      </c>
      <c r="E135" s="8">
        <v>3000</v>
      </c>
      <c r="F135" s="45">
        <f t="shared" si="32"/>
        <v>5130</v>
      </c>
      <c r="G135" s="89"/>
      <c r="H135" s="84"/>
      <c r="I135" s="83"/>
      <c r="J135" s="83"/>
      <c r="K135" s="84"/>
      <c r="L135" s="83"/>
      <c r="M135" s="83"/>
      <c r="N135" s="83"/>
    </row>
    <row r="136" spans="1:14" x14ac:dyDescent="0.25">
      <c r="B136" s="86"/>
      <c r="C136" s="8" t="s">
        <v>109</v>
      </c>
      <c r="D136" s="35">
        <v>1.3</v>
      </c>
      <c r="E136" s="8">
        <v>6000</v>
      </c>
      <c r="F136" s="45">
        <f t="shared" si="32"/>
        <v>7800</v>
      </c>
      <c r="G136" s="89"/>
      <c r="H136" s="84"/>
      <c r="I136" s="83"/>
      <c r="J136" s="83"/>
      <c r="K136" s="84"/>
      <c r="L136" s="83"/>
      <c r="M136" s="83"/>
      <c r="N136" s="83"/>
    </row>
    <row r="137" spans="1:14" ht="15.75" thickBot="1" x14ac:dyDescent="0.3">
      <c r="C137" s="8"/>
      <c r="D137" s="8"/>
      <c r="E137" s="8"/>
      <c r="F137" s="34">
        <f>SUM(F131:F136)</f>
        <v>37680</v>
      </c>
      <c r="J137" s="8"/>
      <c r="K137" s="33"/>
      <c r="L137" s="8"/>
      <c r="M137" s="8"/>
      <c r="N137" s="8"/>
    </row>
    <row r="138" spans="1:14" ht="15.75" thickTop="1" x14ac:dyDescent="0.25"/>
    <row r="139" spans="1:14" x14ac:dyDescent="0.25">
      <c r="A139" s="4">
        <v>51</v>
      </c>
      <c r="B139" s="41" t="s">
        <v>110</v>
      </c>
      <c r="C139" s="8" t="s">
        <v>50</v>
      </c>
      <c r="D139" s="44">
        <v>1.29</v>
      </c>
      <c r="E139" s="8">
        <v>24480</v>
      </c>
      <c r="F139" s="45">
        <f t="shared" ref="F139:F154" si="33">D139*E139</f>
        <v>31579.200000000001</v>
      </c>
      <c r="H139" s="43">
        <f>9500</f>
        <v>9500</v>
      </c>
      <c r="I139" s="45">
        <f t="shared" ref="I139:I154" si="34">+F139-H139</f>
        <v>22079.200000000001</v>
      </c>
      <c r="J139" s="45">
        <f t="shared" ref="J139:J154" si="35">+I139*19</f>
        <v>419504.8</v>
      </c>
      <c r="K139" s="9">
        <v>0</v>
      </c>
    </row>
    <row r="140" spans="1:14" x14ac:dyDescent="0.25">
      <c r="B140" s="41"/>
      <c r="C140" s="8"/>
      <c r="D140" s="44"/>
      <c r="E140" s="8"/>
      <c r="F140" s="45"/>
      <c r="H140" s="43"/>
      <c r="I140" s="45"/>
      <c r="J140" s="45"/>
      <c r="K140" s="9"/>
    </row>
    <row r="141" spans="1:14" x14ac:dyDescent="0.25">
      <c r="A141" s="4">
        <v>52</v>
      </c>
      <c r="B141" s="41" t="s">
        <v>111</v>
      </c>
      <c r="C141" s="8" t="s">
        <v>69</v>
      </c>
      <c r="D141" s="44">
        <v>1.25</v>
      </c>
      <c r="E141" s="8">
        <v>24480</v>
      </c>
      <c r="F141" s="45">
        <f t="shared" si="33"/>
        <v>30600</v>
      </c>
      <c r="G141" s="49">
        <v>46269</v>
      </c>
      <c r="H141" s="43">
        <f>9500+20415.2</f>
        <v>29915.200000000001</v>
      </c>
      <c r="I141" s="45">
        <f t="shared" si="34"/>
        <v>684.79999999999927</v>
      </c>
      <c r="J141" s="45">
        <f t="shared" si="35"/>
        <v>13011.199999999986</v>
      </c>
      <c r="K141" s="9">
        <v>0</v>
      </c>
    </row>
    <row r="142" spans="1:14" ht="15.75" thickBot="1" x14ac:dyDescent="0.3">
      <c r="B142" s="41"/>
      <c r="C142" s="8"/>
      <c r="D142" s="44"/>
      <c r="E142" s="8"/>
      <c r="F142" s="45"/>
      <c r="G142" s="30" t="s">
        <v>13</v>
      </c>
      <c r="H142" s="38">
        <v>4100</v>
      </c>
      <c r="I142" s="52" t="s">
        <v>18</v>
      </c>
      <c r="J142" s="45"/>
      <c r="K142" s="9"/>
    </row>
    <row r="143" spans="1:14" ht="18.75" customHeight="1" x14ac:dyDescent="0.25">
      <c r="B143" s="41"/>
      <c r="C143" s="8"/>
      <c r="D143" s="44"/>
      <c r="E143" s="8"/>
      <c r="F143" s="45"/>
      <c r="H143" s="43"/>
      <c r="I143" s="45"/>
      <c r="J143" s="45"/>
      <c r="K143" s="9"/>
    </row>
    <row r="144" spans="1:14" x14ac:dyDescent="0.25">
      <c r="A144" s="4">
        <v>53</v>
      </c>
      <c r="B144" s="41" t="s">
        <v>112</v>
      </c>
      <c r="C144" s="8" t="s">
        <v>83</v>
      </c>
      <c r="D144" s="44">
        <v>1.28</v>
      </c>
      <c r="E144" s="8">
        <v>24480</v>
      </c>
      <c r="F144" s="45">
        <f t="shared" si="33"/>
        <v>31334.400000000001</v>
      </c>
      <c r="H144" s="79">
        <f>10000</f>
        <v>10000</v>
      </c>
      <c r="I144" s="45">
        <f>F144-H144</f>
        <v>21334.400000000001</v>
      </c>
      <c r="J144" s="45">
        <f t="shared" si="35"/>
        <v>405353.60000000003</v>
      </c>
      <c r="K144" s="9">
        <v>0</v>
      </c>
    </row>
    <row r="145" spans="1:11" x14ac:dyDescent="0.25">
      <c r="B145" s="41"/>
      <c r="C145" s="8"/>
      <c r="D145" s="44"/>
      <c r="E145" s="8"/>
      <c r="F145" s="45"/>
      <c r="H145" s="43"/>
      <c r="I145" s="45"/>
      <c r="J145" s="45"/>
      <c r="K145" s="9"/>
    </row>
    <row r="146" spans="1:11" x14ac:dyDescent="0.25">
      <c r="A146" s="4">
        <v>54</v>
      </c>
      <c r="B146" s="41" t="s">
        <v>112</v>
      </c>
      <c r="C146" s="8" t="s">
        <v>50</v>
      </c>
      <c r="D146" s="44">
        <v>1.3049999999999999</v>
      </c>
      <c r="E146" s="8">
        <v>24480</v>
      </c>
      <c r="F146" s="45">
        <f t="shared" si="33"/>
        <v>31946.399999999998</v>
      </c>
      <c r="I146" s="45">
        <f>+F146-H146</f>
        <v>31946.399999999998</v>
      </c>
      <c r="J146" s="45">
        <f t="shared" si="35"/>
        <v>606981.6</v>
      </c>
      <c r="K146" s="9">
        <v>0</v>
      </c>
    </row>
    <row r="147" spans="1:11" x14ac:dyDescent="0.25">
      <c r="B147" s="41"/>
      <c r="C147" s="8"/>
      <c r="D147" s="44"/>
      <c r="E147" s="8"/>
      <c r="F147" s="45"/>
      <c r="H147" s="43"/>
      <c r="I147" s="45"/>
      <c r="J147" s="45"/>
      <c r="K147" s="9"/>
    </row>
    <row r="148" spans="1:11" x14ac:dyDescent="0.25">
      <c r="A148" s="4">
        <v>55</v>
      </c>
      <c r="B148" s="41" t="s">
        <v>112</v>
      </c>
      <c r="C148" s="8" t="s">
        <v>50</v>
      </c>
      <c r="D148" s="44">
        <v>1.3049999999999999</v>
      </c>
      <c r="E148" s="8">
        <v>24480</v>
      </c>
      <c r="F148" s="45">
        <f t="shared" si="33"/>
        <v>31946.399999999998</v>
      </c>
      <c r="H148" s="43"/>
      <c r="I148" s="45">
        <f t="shared" si="34"/>
        <v>31946.399999999998</v>
      </c>
      <c r="J148" s="45">
        <f t="shared" si="35"/>
        <v>606981.6</v>
      </c>
      <c r="K148" s="9">
        <v>0</v>
      </c>
    </row>
    <row r="149" spans="1:11" x14ac:dyDescent="0.25">
      <c r="B149" s="41"/>
      <c r="C149" s="8"/>
      <c r="D149" s="44"/>
      <c r="E149" s="8"/>
      <c r="F149" s="45"/>
      <c r="H149" s="43"/>
      <c r="I149" s="45"/>
      <c r="J149" s="45"/>
      <c r="K149" s="9"/>
    </row>
    <row r="150" spans="1:11" x14ac:dyDescent="0.25">
      <c r="A150" s="4">
        <v>56</v>
      </c>
      <c r="B150" s="41" t="s">
        <v>223</v>
      </c>
      <c r="C150" s="8" t="s">
        <v>224</v>
      </c>
      <c r="D150" s="44">
        <v>1.27</v>
      </c>
      <c r="E150" s="8">
        <v>24480</v>
      </c>
      <c r="F150" s="45">
        <f t="shared" si="33"/>
        <v>31089.600000000002</v>
      </c>
      <c r="G150" s="40">
        <v>46283</v>
      </c>
      <c r="H150" s="50">
        <f>14000</f>
        <v>14000</v>
      </c>
      <c r="I150" s="45">
        <f t="shared" si="34"/>
        <v>17089.600000000002</v>
      </c>
      <c r="J150" s="45">
        <f t="shared" si="35"/>
        <v>324702.40000000002</v>
      </c>
      <c r="K150" s="9">
        <v>0</v>
      </c>
    </row>
    <row r="151" spans="1:11" x14ac:dyDescent="0.25">
      <c r="B151" s="41"/>
      <c r="C151" s="8"/>
      <c r="D151" s="44"/>
      <c r="E151" s="8"/>
      <c r="F151" s="45"/>
      <c r="H151" s="43"/>
      <c r="I151" s="45"/>
      <c r="J151" s="45"/>
      <c r="K151" s="9"/>
    </row>
    <row r="152" spans="1:11" x14ac:dyDescent="0.25">
      <c r="A152" s="4">
        <v>57</v>
      </c>
      <c r="B152" s="41" t="s">
        <v>113</v>
      </c>
      <c r="C152" s="8" t="s">
        <v>54</v>
      </c>
      <c r="D152" s="44">
        <v>1.27</v>
      </c>
      <c r="E152" s="8">
        <v>24480</v>
      </c>
      <c r="F152" s="45">
        <f t="shared" si="33"/>
        <v>31089.600000000002</v>
      </c>
      <c r="H152" s="43"/>
      <c r="I152" s="45">
        <f t="shared" si="34"/>
        <v>31089.600000000002</v>
      </c>
      <c r="J152" s="45">
        <f t="shared" si="35"/>
        <v>590702.4</v>
      </c>
      <c r="K152" s="9">
        <v>0</v>
      </c>
    </row>
    <row r="153" spans="1:11" x14ac:dyDescent="0.25">
      <c r="B153" s="41"/>
      <c r="C153" s="8"/>
      <c r="D153" s="44"/>
      <c r="E153" s="8"/>
      <c r="F153" s="45"/>
      <c r="H153" s="43"/>
      <c r="I153" s="45"/>
      <c r="J153" s="45"/>
      <c r="K153" s="9"/>
    </row>
    <row r="154" spans="1:11" x14ac:dyDescent="0.25">
      <c r="A154" s="4">
        <v>58</v>
      </c>
      <c r="B154" s="41" t="s">
        <v>113</v>
      </c>
      <c r="C154" s="8" t="s">
        <v>97</v>
      </c>
      <c r="D154" s="44">
        <v>1.2749999999999999</v>
      </c>
      <c r="E154" s="8">
        <v>24480</v>
      </c>
      <c r="F154" s="45">
        <f t="shared" si="33"/>
        <v>31211.999999999996</v>
      </c>
      <c r="H154" s="43"/>
      <c r="I154" s="45">
        <f t="shared" si="34"/>
        <v>31211.999999999996</v>
      </c>
      <c r="J154" s="45">
        <f t="shared" si="35"/>
        <v>593027.99999999988</v>
      </c>
      <c r="K154" s="9">
        <v>0</v>
      </c>
    </row>
    <row r="156" spans="1:11" x14ac:dyDescent="0.25">
      <c r="A156" s="4">
        <v>59</v>
      </c>
      <c r="B156" s="41" t="s">
        <v>208</v>
      </c>
      <c r="C156" s="8" t="s">
        <v>201</v>
      </c>
      <c r="D156" s="44">
        <v>1.2350000000000001</v>
      </c>
      <c r="E156" s="8">
        <v>24480</v>
      </c>
      <c r="F156" s="45">
        <f t="shared" ref="F156:F159" si="36">D156*E156</f>
        <v>30232.800000000003</v>
      </c>
      <c r="H156" s="43"/>
      <c r="I156" s="45">
        <f t="shared" ref="I156" si="37">+F156-H156</f>
        <v>30232.800000000003</v>
      </c>
      <c r="J156" s="45">
        <f t="shared" ref="J156" si="38">+I156*19</f>
        <v>574423.20000000007</v>
      </c>
      <c r="K156" s="9">
        <v>0</v>
      </c>
    </row>
    <row r="158" spans="1:11" x14ac:dyDescent="0.25">
      <c r="A158" s="4">
        <v>60</v>
      </c>
      <c r="B158" s="86" t="s">
        <v>218</v>
      </c>
      <c r="C158" s="8" t="s">
        <v>219</v>
      </c>
      <c r="D158" s="44">
        <v>1.35</v>
      </c>
      <c r="E158" s="8">
        <v>16000</v>
      </c>
      <c r="F158" s="45">
        <f t="shared" si="36"/>
        <v>21600</v>
      </c>
      <c r="G158" s="89"/>
      <c r="H158" s="83"/>
      <c r="I158" s="82">
        <f>F160-H158</f>
        <v>32880</v>
      </c>
      <c r="J158" s="82">
        <f t="shared" ref="J158" si="39">+I158*19</f>
        <v>624720</v>
      </c>
      <c r="K158" s="82">
        <v>0</v>
      </c>
    </row>
    <row r="159" spans="1:11" x14ac:dyDescent="0.25">
      <c r="B159" s="86"/>
      <c r="C159" s="8" t="s">
        <v>220</v>
      </c>
      <c r="D159" s="44">
        <v>1.41</v>
      </c>
      <c r="E159" s="8">
        <v>8000</v>
      </c>
      <c r="F159" s="45">
        <f t="shared" si="36"/>
        <v>11280</v>
      </c>
      <c r="G159" s="89"/>
      <c r="H159" s="83"/>
      <c r="I159" s="83"/>
      <c r="J159" s="82"/>
      <c r="K159" s="82"/>
    </row>
    <row r="160" spans="1:11" ht="15.75" thickBot="1" x14ac:dyDescent="0.3">
      <c r="F160" s="34">
        <f>F158+F159</f>
        <v>32880</v>
      </c>
    </row>
    <row r="161" spans="7:7" ht="15.75" thickTop="1" x14ac:dyDescent="0.25"/>
    <row r="162" spans="7:7" x14ac:dyDescent="0.25">
      <c r="G162" s="7" t="s">
        <v>225</v>
      </c>
    </row>
  </sheetData>
  <autoFilter ref="A1:Q1" xr:uid="{00000000-0009-0000-0000-000000000000}"/>
  <mergeCells count="73">
    <mergeCell ref="B158:B159"/>
    <mergeCell ref="G158:G159"/>
    <mergeCell ref="H158:H159"/>
    <mergeCell ref="I158:I159"/>
    <mergeCell ref="J158:J159"/>
    <mergeCell ref="K158:K159"/>
    <mergeCell ref="M131:M136"/>
    <mergeCell ref="N131:N136"/>
    <mergeCell ref="H131:H136"/>
    <mergeCell ref="I131:I136"/>
    <mergeCell ref="J131:J136"/>
    <mergeCell ref="K131:K136"/>
    <mergeCell ref="L131:L136"/>
    <mergeCell ref="B131:B136"/>
    <mergeCell ref="G131:G136"/>
    <mergeCell ref="B98:B99"/>
    <mergeCell ref="A98:A99"/>
    <mergeCell ref="I98:I99"/>
    <mergeCell ref="H98:H99"/>
    <mergeCell ref="G98:G99"/>
    <mergeCell ref="G114:G116"/>
    <mergeCell ref="B114:B116"/>
    <mergeCell ref="H114:H116"/>
    <mergeCell ref="I114:I116"/>
    <mergeCell ref="G125:G127"/>
    <mergeCell ref="H125:H127"/>
    <mergeCell ref="I125:I127"/>
    <mergeCell ref="B125:B127"/>
    <mergeCell ref="I65:I66"/>
    <mergeCell ref="M60:M61"/>
    <mergeCell ref="N60:N61"/>
    <mergeCell ref="J98:J99"/>
    <mergeCell ref="K98:K99"/>
    <mergeCell ref="I70:I72"/>
    <mergeCell ref="J70:J72"/>
    <mergeCell ref="K70:K72"/>
    <mergeCell ref="K60:K61"/>
    <mergeCell ref="J60:J61"/>
    <mergeCell ref="J65:J66"/>
    <mergeCell ref="K65:K66"/>
    <mergeCell ref="I60:I61"/>
    <mergeCell ref="L65:L66"/>
    <mergeCell ref="M65:M66"/>
    <mergeCell ref="N65:N66"/>
    <mergeCell ref="L18:L19"/>
    <mergeCell ref="M18:M19"/>
    <mergeCell ref="I18:I19"/>
    <mergeCell ref="J18:J19"/>
    <mergeCell ref="K18:K19"/>
    <mergeCell ref="B18:B19"/>
    <mergeCell ref="B70:B72"/>
    <mergeCell ref="G70:G72"/>
    <mergeCell ref="H70:H72"/>
    <mergeCell ref="G18:G19"/>
    <mergeCell ref="H18:H19"/>
    <mergeCell ref="D18:D19"/>
    <mergeCell ref="E18:E19"/>
    <mergeCell ref="F18:F19"/>
    <mergeCell ref="B60:B61"/>
    <mergeCell ref="B65:B66"/>
    <mergeCell ref="G60:G61"/>
    <mergeCell ref="H60:H61"/>
    <mergeCell ref="G65:G66"/>
    <mergeCell ref="H65:H66"/>
    <mergeCell ref="J125:J127"/>
    <mergeCell ref="K125:K127"/>
    <mergeCell ref="J114:J116"/>
    <mergeCell ref="K114:K116"/>
    <mergeCell ref="G119:G121"/>
    <mergeCell ref="H119:H121"/>
    <mergeCell ref="I119:I121"/>
    <mergeCell ref="J119:J121"/>
    <mergeCell ref="K119:K121"/>
  </mergeCells>
  <printOptions horizontalCentered="1"/>
  <pageMargins left="0.11811023622047245" right="0.11811023622047245" top="0.15748031496062992" bottom="0.15748031496062992" header="0.31496062992125984" footer="0.31496062992125984"/>
  <pageSetup scale="8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FB16-F313-4BCB-AAF4-94D27F3C0594}">
  <dimension ref="B5:L11"/>
  <sheetViews>
    <sheetView topLeftCell="A4" workbookViewId="0">
      <selection activeCell="B6" sqref="B6:L11"/>
    </sheetView>
  </sheetViews>
  <sheetFormatPr baseColWidth="10" defaultRowHeight="15" x14ac:dyDescent="0.25"/>
  <cols>
    <col min="2" max="2" width="29" customWidth="1"/>
    <col min="3" max="3" width="12.42578125" bestFit="1" customWidth="1"/>
    <col min="4" max="4" width="8.7109375" hidden="1" customWidth="1"/>
    <col min="5" max="5" width="9" hidden="1" customWidth="1"/>
    <col min="6" max="6" width="12.7109375" bestFit="1" customWidth="1"/>
    <col min="8" max="8" width="12.7109375" bestFit="1" customWidth="1"/>
    <col min="9" max="9" width="14" customWidth="1"/>
    <col min="10" max="10" width="14.140625" hidden="1" customWidth="1"/>
    <col min="11" max="11" width="13.85546875" bestFit="1" customWidth="1"/>
    <col min="12" max="12" width="31" customWidth="1"/>
  </cols>
  <sheetData>
    <row r="5" spans="2:12" ht="15.75" thickBot="1" x14ac:dyDescent="0.3"/>
    <row r="6" spans="2:12" ht="30" x14ac:dyDescent="0.25">
      <c r="B6" s="53" t="s">
        <v>1</v>
      </c>
      <c r="C6" s="54" t="s">
        <v>2</v>
      </c>
      <c r="D6" s="55" t="s">
        <v>3</v>
      </c>
      <c r="E6" s="54" t="s">
        <v>4</v>
      </c>
      <c r="F6" s="55" t="s">
        <v>5</v>
      </c>
      <c r="G6" s="54" t="s">
        <v>6</v>
      </c>
      <c r="H6" s="55" t="s">
        <v>7</v>
      </c>
      <c r="I6" s="55" t="s">
        <v>8</v>
      </c>
      <c r="J6" s="54" t="s">
        <v>9</v>
      </c>
      <c r="K6" s="54" t="s">
        <v>10</v>
      </c>
      <c r="L6" s="56" t="s">
        <v>215</v>
      </c>
    </row>
    <row r="7" spans="2:12" x14ac:dyDescent="0.25">
      <c r="B7" s="63" t="s">
        <v>91</v>
      </c>
      <c r="C7" s="57" t="s">
        <v>54</v>
      </c>
      <c r="D7" s="58">
        <v>1.38</v>
      </c>
      <c r="E7" s="57">
        <v>24480</v>
      </c>
      <c r="F7" s="59">
        <f>D7*E7</f>
        <v>33782.399999999994</v>
      </c>
      <c r="G7" s="60">
        <v>46254</v>
      </c>
      <c r="H7" s="61">
        <v>7000</v>
      </c>
      <c r="I7" s="59">
        <f>+F7-H7</f>
        <v>26782.399999999994</v>
      </c>
      <c r="J7" s="59">
        <f>+I7*19</f>
        <v>508865.59999999986</v>
      </c>
      <c r="K7" s="62">
        <f>191215-191215</f>
        <v>0</v>
      </c>
      <c r="L7" s="64" t="s">
        <v>221</v>
      </c>
    </row>
    <row r="8" spans="2:12" x14ac:dyDescent="0.25">
      <c r="B8" s="63" t="s">
        <v>100</v>
      </c>
      <c r="C8" s="57" t="s">
        <v>42</v>
      </c>
      <c r="D8" s="58">
        <v>2.42</v>
      </c>
      <c r="E8" s="57">
        <v>20399.7</v>
      </c>
      <c r="F8" s="59">
        <f>D8*E8</f>
        <v>49367.273999999998</v>
      </c>
      <c r="G8" s="60">
        <v>46261</v>
      </c>
      <c r="H8" s="57"/>
      <c r="I8" s="59">
        <f t="shared" ref="I8:I11" si="0">+F8-H8</f>
        <v>49367.273999999998</v>
      </c>
      <c r="J8" s="59">
        <f t="shared" ref="J8:J11" si="1">+I8*19</f>
        <v>937978.20600000001</v>
      </c>
      <c r="K8" s="62">
        <v>450663</v>
      </c>
      <c r="L8" s="65" t="s">
        <v>216</v>
      </c>
    </row>
    <row r="9" spans="2:12" x14ac:dyDescent="0.25">
      <c r="B9" s="63" t="s">
        <v>101</v>
      </c>
      <c r="C9" s="57" t="s">
        <v>42</v>
      </c>
      <c r="D9" s="58">
        <v>2.4300000000000002</v>
      </c>
      <c r="E9" s="57">
        <v>19521.7</v>
      </c>
      <c r="F9" s="59">
        <f>D9*E9</f>
        <v>47437.731000000007</v>
      </c>
      <c r="G9" s="60">
        <v>46261</v>
      </c>
      <c r="H9" s="57"/>
      <c r="I9" s="59">
        <f t="shared" si="0"/>
        <v>47437.731000000007</v>
      </c>
      <c r="J9" s="59">
        <f t="shared" si="1"/>
        <v>901316.88900000008</v>
      </c>
      <c r="K9" s="62">
        <v>434268</v>
      </c>
      <c r="L9" s="65" t="s">
        <v>216</v>
      </c>
    </row>
    <row r="10" spans="2:12" x14ac:dyDescent="0.25">
      <c r="B10" s="63" t="s">
        <v>213</v>
      </c>
      <c r="C10" s="57" t="s">
        <v>50</v>
      </c>
      <c r="D10" s="58">
        <v>1.365</v>
      </c>
      <c r="E10" s="57">
        <v>24480</v>
      </c>
      <c r="F10" s="59">
        <f>D10*E10</f>
        <v>33415.199999999997</v>
      </c>
      <c r="G10" s="60">
        <v>46269</v>
      </c>
      <c r="H10" s="78">
        <v>7000</v>
      </c>
      <c r="I10" s="59">
        <f t="shared" si="0"/>
        <v>26415.199999999997</v>
      </c>
      <c r="J10" s="59">
        <f t="shared" si="1"/>
        <v>501888.79999999993</v>
      </c>
      <c r="K10" s="62">
        <v>0</v>
      </c>
      <c r="L10" s="65" t="s">
        <v>222</v>
      </c>
    </row>
    <row r="11" spans="2:12" ht="15.75" thickBot="1" x14ac:dyDescent="0.3">
      <c r="B11" s="66" t="s">
        <v>111</v>
      </c>
      <c r="C11" s="67" t="s">
        <v>69</v>
      </c>
      <c r="D11" s="68">
        <v>1.25</v>
      </c>
      <c r="E11" s="67">
        <v>24480</v>
      </c>
      <c r="F11" s="69">
        <f>D11*E11</f>
        <v>30600</v>
      </c>
      <c r="G11" s="77">
        <v>46269</v>
      </c>
      <c r="H11" s="70">
        <f>9500+20415.2</f>
        <v>29915.200000000001</v>
      </c>
      <c r="I11" s="69">
        <f t="shared" si="0"/>
        <v>684.79999999999927</v>
      </c>
      <c r="J11" s="69">
        <f t="shared" si="1"/>
        <v>13011.199999999986</v>
      </c>
      <c r="K11" s="71">
        <v>0</v>
      </c>
      <c r="L11" s="72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8A90-54CC-48C7-92A0-FFCE8A8ED88A}">
  <dimension ref="A4:K20"/>
  <sheetViews>
    <sheetView topLeftCell="A4" workbookViewId="0">
      <selection activeCell="G18" sqref="G18"/>
    </sheetView>
  </sheetViews>
  <sheetFormatPr baseColWidth="10" defaultColWidth="11.42578125" defaultRowHeight="15" x14ac:dyDescent="0.25"/>
  <cols>
    <col min="1" max="1" width="9" bestFit="1" customWidth="1"/>
    <col min="2" max="2" width="13.28515625" customWidth="1"/>
    <col min="3" max="3" width="40.7109375" customWidth="1"/>
    <col min="4" max="4" width="10" bestFit="1" customWidth="1"/>
    <col min="5" max="5" width="10" customWidth="1"/>
    <col min="6" max="6" width="18.140625" customWidth="1"/>
    <col min="7" max="7" width="20.85546875" bestFit="1" customWidth="1"/>
    <col min="8" max="8" width="10.7109375" bestFit="1" customWidth="1"/>
    <col min="9" max="9" width="15" customWidth="1"/>
    <col min="10" max="10" width="13.7109375" customWidth="1"/>
    <col min="11" max="11" width="15.7109375" customWidth="1"/>
  </cols>
  <sheetData>
    <row r="4" spans="1:11" ht="30" x14ac:dyDescent="0.25">
      <c r="A4" s="10" t="s">
        <v>114</v>
      </c>
      <c r="B4" s="10" t="s">
        <v>115</v>
      </c>
      <c r="C4" s="10" t="s">
        <v>116</v>
      </c>
      <c r="D4" s="10" t="s">
        <v>117</v>
      </c>
      <c r="E4" s="10" t="s">
        <v>118</v>
      </c>
      <c r="F4" s="10" t="s">
        <v>119</v>
      </c>
      <c r="G4" s="10" t="s">
        <v>120</v>
      </c>
      <c r="H4" s="10" t="s">
        <v>121</v>
      </c>
      <c r="I4" s="10" t="s">
        <v>122</v>
      </c>
      <c r="J4" s="10" t="s">
        <v>123</v>
      </c>
      <c r="K4" s="10" t="s">
        <v>124</v>
      </c>
    </row>
    <row r="5" spans="1:11" x14ac:dyDescent="0.25">
      <c r="A5" s="46" t="s">
        <v>125</v>
      </c>
      <c r="B5" s="46" t="s">
        <v>126</v>
      </c>
      <c r="C5" s="46" t="s">
        <v>127</v>
      </c>
      <c r="D5" s="46">
        <v>202533732</v>
      </c>
      <c r="E5" s="46"/>
      <c r="F5" s="46" t="s">
        <v>128</v>
      </c>
      <c r="G5" s="46" t="s">
        <v>129</v>
      </c>
      <c r="H5" s="46" t="s">
        <v>130</v>
      </c>
      <c r="I5" s="46" t="s">
        <v>131</v>
      </c>
      <c r="J5" s="46" t="s">
        <v>132</v>
      </c>
      <c r="K5" s="46" t="s">
        <v>133</v>
      </c>
    </row>
    <row r="6" spans="1:11" x14ac:dyDescent="0.25">
      <c r="A6" s="46" t="s">
        <v>125</v>
      </c>
      <c r="B6" s="46" t="s">
        <v>134</v>
      </c>
      <c r="C6" s="46" t="s">
        <v>135</v>
      </c>
      <c r="D6" s="46">
        <v>202533738</v>
      </c>
      <c r="E6" s="46"/>
      <c r="F6" s="46" t="s">
        <v>136</v>
      </c>
      <c r="G6" s="46" t="s">
        <v>129</v>
      </c>
      <c r="H6" s="46" t="s">
        <v>130</v>
      </c>
      <c r="I6" s="46" t="s">
        <v>131</v>
      </c>
      <c r="J6" s="46" t="s">
        <v>137</v>
      </c>
      <c r="K6" s="46" t="s">
        <v>138</v>
      </c>
    </row>
    <row r="7" spans="1:11" x14ac:dyDescent="0.25">
      <c r="A7" s="46" t="s">
        <v>125</v>
      </c>
      <c r="B7" s="46" t="s">
        <v>126</v>
      </c>
      <c r="C7" s="46" t="s">
        <v>127</v>
      </c>
      <c r="D7" s="46">
        <v>202536676</v>
      </c>
      <c r="E7" s="46"/>
      <c r="F7" s="46" t="s">
        <v>139</v>
      </c>
      <c r="G7" s="46" t="s">
        <v>129</v>
      </c>
      <c r="H7" s="46" t="s">
        <v>140</v>
      </c>
      <c r="I7" s="46" t="s">
        <v>141</v>
      </c>
      <c r="J7" s="46" t="s">
        <v>142</v>
      </c>
      <c r="K7" s="46" t="s">
        <v>143</v>
      </c>
    </row>
    <row r="8" spans="1:11" x14ac:dyDescent="0.25">
      <c r="A8" s="46" t="s">
        <v>125</v>
      </c>
      <c r="B8" s="46" t="s">
        <v>126</v>
      </c>
      <c r="C8" s="46" t="s">
        <v>127</v>
      </c>
      <c r="D8" s="46">
        <v>202536677</v>
      </c>
      <c r="E8" s="46"/>
      <c r="F8" s="46" t="s">
        <v>144</v>
      </c>
      <c r="G8" s="46" t="s">
        <v>129</v>
      </c>
      <c r="H8" s="46" t="s">
        <v>140</v>
      </c>
      <c r="I8" s="46" t="s">
        <v>141</v>
      </c>
      <c r="J8" s="46" t="s">
        <v>145</v>
      </c>
      <c r="K8" s="46" t="s">
        <v>146</v>
      </c>
    </row>
    <row r="9" spans="1:11" x14ac:dyDescent="0.25">
      <c r="A9" s="46" t="s">
        <v>125</v>
      </c>
      <c r="B9" s="46" t="s">
        <v>126</v>
      </c>
      <c r="C9" s="46" t="s">
        <v>127</v>
      </c>
      <c r="D9" s="46">
        <v>202541629</v>
      </c>
      <c r="E9" s="46"/>
      <c r="F9" s="46" t="s">
        <v>147</v>
      </c>
      <c r="G9" s="46" t="s">
        <v>129</v>
      </c>
      <c r="H9" s="46" t="s">
        <v>148</v>
      </c>
      <c r="I9" s="46" t="s">
        <v>149</v>
      </c>
      <c r="J9" s="46" t="s">
        <v>150</v>
      </c>
      <c r="K9" s="46" t="s">
        <v>151</v>
      </c>
    </row>
    <row r="10" spans="1:11" x14ac:dyDescent="0.25">
      <c r="A10" s="46" t="s">
        <v>125</v>
      </c>
      <c r="B10" s="46" t="s">
        <v>126</v>
      </c>
      <c r="C10" s="46" t="s">
        <v>127</v>
      </c>
      <c r="D10" s="46">
        <v>202541630</v>
      </c>
      <c r="E10" s="46"/>
      <c r="F10" s="46" t="s">
        <v>152</v>
      </c>
      <c r="G10" s="46" t="s">
        <v>129</v>
      </c>
      <c r="H10" s="46" t="s">
        <v>148</v>
      </c>
      <c r="I10" s="46" t="s">
        <v>149</v>
      </c>
      <c r="J10" s="46" t="s">
        <v>153</v>
      </c>
      <c r="K10" s="46" t="s">
        <v>154</v>
      </c>
    </row>
    <row r="11" spans="1:11" x14ac:dyDescent="0.25">
      <c r="A11" s="46" t="s">
        <v>125</v>
      </c>
      <c r="B11" s="46" t="s">
        <v>126</v>
      </c>
      <c r="C11" s="46" t="s">
        <v>127</v>
      </c>
      <c r="D11" s="46">
        <v>202545165</v>
      </c>
      <c r="E11" s="46" t="s">
        <v>155</v>
      </c>
      <c r="F11" s="46" t="s">
        <v>156</v>
      </c>
      <c r="G11" s="46" t="s">
        <v>129</v>
      </c>
      <c r="H11" s="46" t="s">
        <v>157</v>
      </c>
      <c r="I11" s="46" t="s">
        <v>158</v>
      </c>
      <c r="J11" s="46" t="s">
        <v>159</v>
      </c>
      <c r="K11" s="46" t="s">
        <v>160</v>
      </c>
    </row>
    <row r="12" spans="1:11" x14ac:dyDescent="0.25">
      <c r="A12" s="46" t="s">
        <v>125</v>
      </c>
      <c r="B12" s="46" t="s">
        <v>126</v>
      </c>
      <c r="C12" s="46" t="s">
        <v>127</v>
      </c>
      <c r="D12" s="46">
        <v>202547536</v>
      </c>
      <c r="E12" s="46" t="s">
        <v>161</v>
      </c>
      <c r="F12" s="46" t="s">
        <v>162</v>
      </c>
      <c r="G12" s="46" t="s">
        <v>129</v>
      </c>
      <c r="H12" s="46" t="s">
        <v>163</v>
      </c>
      <c r="I12" s="46" t="s">
        <v>164</v>
      </c>
      <c r="J12" s="46" t="s">
        <v>165</v>
      </c>
      <c r="K12" s="46" t="s">
        <v>166</v>
      </c>
    </row>
    <row r="13" spans="1:11" x14ac:dyDescent="0.25">
      <c r="A13" s="46" t="s">
        <v>125</v>
      </c>
      <c r="B13" s="46" t="s">
        <v>126</v>
      </c>
      <c r="C13" s="46" t="s">
        <v>127</v>
      </c>
      <c r="D13" s="46" t="s">
        <v>167</v>
      </c>
      <c r="E13" s="46" t="s">
        <v>14</v>
      </c>
      <c r="F13" s="46" t="s">
        <v>168</v>
      </c>
      <c r="G13" s="46" t="s">
        <v>129</v>
      </c>
      <c r="H13" s="46" t="s">
        <v>169</v>
      </c>
      <c r="I13" s="46" t="s">
        <v>170</v>
      </c>
      <c r="J13" s="46" t="s">
        <v>171</v>
      </c>
      <c r="K13" s="46" t="s">
        <v>172</v>
      </c>
    </row>
    <row r="14" spans="1:11" x14ac:dyDescent="0.25">
      <c r="A14" s="46" t="s">
        <v>125</v>
      </c>
      <c r="B14" s="46" t="s">
        <v>126</v>
      </c>
      <c r="C14" s="46" t="s">
        <v>127</v>
      </c>
      <c r="D14" s="46" t="s">
        <v>173</v>
      </c>
      <c r="E14" s="46" t="s">
        <v>19</v>
      </c>
      <c r="F14" s="46" t="s">
        <v>174</v>
      </c>
      <c r="G14" s="46" t="s">
        <v>129</v>
      </c>
      <c r="H14" s="46" t="s">
        <v>169</v>
      </c>
      <c r="I14" s="46" t="s">
        <v>170</v>
      </c>
      <c r="J14" s="46" t="s">
        <v>175</v>
      </c>
      <c r="K14" s="46" t="s">
        <v>176</v>
      </c>
    </row>
    <row r="15" spans="1:11" x14ac:dyDescent="0.25">
      <c r="A15" s="36">
        <v>333450</v>
      </c>
      <c r="B15" s="36">
        <v>2542</v>
      </c>
      <c r="C15" s="11" t="s">
        <v>127</v>
      </c>
      <c r="D15" s="36">
        <v>202610730</v>
      </c>
      <c r="E15" s="11" t="s">
        <v>31</v>
      </c>
      <c r="F15" s="11" t="s">
        <v>177</v>
      </c>
      <c r="G15" s="11" t="s">
        <v>129</v>
      </c>
      <c r="H15" s="11" t="s">
        <v>131</v>
      </c>
      <c r="I15" s="11" t="s">
        <v>178</v>
      </c>
      <c r="J15" s="37">
        <v>47000</v>
      </c>
      <c r="K15" s="37">
        <v>47848.5</v>
      </c>
    </row>
    <row r="16" spans="1:11" x14ac:dyDescent="0.25">
      <c r="A16" s="36">
        <v>333450</v>
      </c>
      <c r="B16" s="36">
        <v>2542</v>
      </c>
      <c r="C16" s="11" t="s">
        <v>127</v>
      </c>
      <c r="D16" s="36">
        <v>202610732</v>
      </c>
      <c r="E16" s="11" t="s">
        <v>34</v>
      </c>
      <c r="F16" s="11" t="s">
        <v>179</v>
      </c>
      <c r="G16" s="11" t="s">
        <v>129</v>
      </c>
      <c r="H16" s="11" t="s">
        <v>131</v>
      </c>
      <c r="I16" s="11" t="s">
        <v>178</v>
      </c>
      <c r="J16" s="37">
        <v>45000</v>
      </c>
      <c r="K16" s="37">
        <v>45812.42</v>
      </c>
    </row>
    <row r="17" spans="1:11" x14ac:dyDescent="0.25">
      <c r="A17" s="36">
        <v>333450</v>
      </c>
      <c r="B17" s="36">
        <v>2542</v>
      </c>
      <c r="C17" s="11" t="s">
        <v>127</v>
      </c>
      <c r="D17" s="36">
        <v>202615059</v>
      </c>
      <c r="E17" s="11" t="s">
        <v>75</v>
      </c>
      <c r="F17" s="11" t="s">
        <v>180</v>
      </c>
      <c r="G17" s="11" t="s">
        <v>129</v>
      </c>
      <c r="H17" s="11" t="s">
        <v>181</v>
      </c>
      <c r="I17" s="11" t="s">
        <v>182</v>
      </c>
      <c r="J17" s="37">
        <v>35000</v>
      </c>
      <c r="K17" s="37">
        <v>35439.800000000003</v>
      </c>
    </row>
    <row r="18" spans="1:11" x14ac:dyDescent="0.25">
      <c r="A18" s="36">
        <v>333450</v>
      </c>
      <c r="B18" s="36">
        <v>2542</v>
      </c>
      <c r="C18" s="11" t="s">
        <v>127</v>
      </c>
      <c r="D18" s="36">
        <v>202617246</v>
      </c>
      <c r="E18" s="11" t="s">
        <v>38</v>
      </c>
      <c r="F18" s="11" t="s">
        <v>183</v>
      </c>
      <c r="G18" s="11" t="s">
        <v>129</v>
      </c>
      <c r="H18" s="11" t="s">
        <v>184</v>
      </c>
      <c r="I18" s="11" t="s">
        <v>185</v>
      </c>
      <c r="J18" s="37">
        <v>31000</v>
      </c>
      <c r="K18" s="37">
        <v>31298.21</v>
      </c>
    </row>
    <row r="19" spans="1:11" x14ac:dyDescent="0.25">
      <c r="A19" s="36">
        <v>333450</v>
      </c>
      <c r="B19" s="36">
        <v>2542</v>
      </c>
      <c r="C19" s="11" t="s">
        <v>127</v>
      </c>
      <c r="D19" s="36">
        <v>202623757</v>
      </c>
      <c r="E19" s="11" t="s">
        <v>41</v>
      </c>
      <c r="F19" s="11" t="s">
        <v>186</v>
      </c>
      <c r="G19" s="11" t="s">
        <v>129</v>
      </c>
      <c r="H19" s="11" t="s">
        <v>187</v>
      </c>
      <c r="I19" s="11" t="s">
        <v>188</v>
      </c>
      <c r="J19" s="37">
        <v>36000</v>
      </c>
      <c r="K19" s="37">
        <v>36098.120000000003</v>
      </c>
    </row>
    <row r="20" spans="1:11" x14ac:dyDescent="0.25">
      <c r="A20" s="36">
        <v>333450</v>
      </c>
      <c r="B20" s="36">
        <v>2542</v>
      </c>
      <c r="C20" s="11" t="s">
        <v>127</v>
      </c>
      <c r="D20" s="36">
        <v>202624454</v>
      </c>
      <c r="E20" s="11" t="s">
        <v>43</v>
      </c>
      <c r="F20" s="11" t="s">
        <v>189</v>
      </c>
      <c r="G20" s="11" t="s">
        <v>129</v>
      </c>
      <c r="H20" s="11" t="s">
        <v>190</v>
      </c>
      <c r="I20" s="11" t="s">
        <v>191</v>
      </c>
      <c r="J20" s="37">
        <v>19000</v>
      </c>
      <c r="K20" s="37">
        <v>19034.88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C926-9EF6-452E-AE78-CA65787D0702}">
  <sheetPr>
    <pageSetUpPr fitToPage="1"/>
  </sheetPr>
  <dimension ref="A1:I48"/>
  <sheetViews>
    <sheetView topLeftCell="A34" zoomScale="130" zoomScaleNormal="130" workbookViewId="0">
      <selection activeCell="I44" sqref="I44"/>
    </sheetView>
  </sheetViews>
  <sheetFormatPr baseColWidth="10" defaultColWidth="11.42578125" defaultRowHeight="15" x14ac:dyDescent="0.25"/>
  <cols>
    <col min="1" max="1" width="14.42578125" style="4" bestFit="1" customWidth="1"/>
    <col min="2" max="2" width="13.85546875" style="4" bestFit="1" customWidth="1"/>
    <col min="3" max="3" width="14.7109375" style="4" customWidth="1"/>
    <col min="4" max="4" width="11.42578125" style="4" bestFit="1" customWidth="1"/>
    <col min="5" max="5" width="13.140625" style="4" bestFit="1" customWidth="1"/>
    <col min="6" max="6" width="13.7109375" style="4" bestFit="1" customWidth="1"/>
    <col min="7" max="7" width="13.28515625" style="4" bestFit="1" customWidth="1"/>
    <col min="8" max="8" width="15.42578125" bestFit="1" customWidth="1"/>
  </cols>
  <sheetData>
    <row r="1" spans="1:8" ht="15.75" thickBot="1" x14ac:dyDescent="0.3"/>
    <row r="2" spans="1:8" ht="30.75" thickBot="1" x14ac:dyDescent="0.3">
      <c r="A2" s="73" t="s">
        <v>1</v>
      </c>
      <c r="B2" s="74" t="s">
        <v>2</v>
      </c>
      <c r="C2" s="74" t="s">
        <v>192</v>
      </c>
      <c r="D2" s="74" t="s">
        <v>193</v>
      </c>
      <c r="E2" s="75" t="s">
        <v>194</v>
      </c>
      <c r="F2" s="74" t="s">
        <v>195</v>
      </c>
      <c r="G2" s="74" t="s">
        <v>196</v>
      </c>
      <c r="H2" s="76" t="s">
        <v>197</v>
      </c>
    </row>
    <row r="3" spans="1:8" x14ac:dyDescent="0.25">
      <c r="A3" s="6" t="s">
        <v>14</v>
      </c>
      <c r="B3" s="27" t="s">
        <v>198</v>
      </c>
      <c r="C3" s="15">
        <v>3231.64</v>
      </c>
      <c r="D3" s="12" t="s">
        <v>199</v>
      </c>
      <c r="E3" s="48">
        <v>46051</v>
      </c>
      <c r="F3" s="13" t="s">
        <v>16</v>
      </c>
      <c r="G3" s="4" t="s">
        <v>200</v>
      </c>
      <c r="H3" s="16"/>
    </row>
    <row r="4" spans="1:8" x14ac:dyDescent="0.25">
      <c r="A4" s="6" t="s">
        <v>19</v>
      </c>
      <c r="B4" s="27" t="s">
        <v>198</v>
      </c>
      <c r="C4" s="15">
        <v>1955.64</v>
      </c>
      <c r="D4" s="12" t="s">
        <v>199</v>
      </c>
      <c r="E4" s="48">
        <v>46051</v>
      </c>
      <c r="F4" s="13" t="s">
        <v>16</v>
      </c>
      <c r="G4" s="4" t="s">
        <v>200</v>
      </c>
      <c r="H4" s="16"/>
    </row>
    <row r="5" spans="1:8" x14ac:dyDescent="0.25">
      <c r="A5" s="6" t="s">
        <v>22</v>
      </c>
      <c r="B5" s="27" t="s">
        <v>201</v>
      </c>
      <c r="C5" s="12">
        <v>10304.43</v>
      </c>
      <c r="D5" s="12" t="s">
        <v>202</v>
      </c>
      <c r="E5" s="48">
        <v>46065</v>
      </c>
      <c r="F5" s="13" t="s">
        <v>16</v>
      </c>
      <c r="G5" s="4" t="s">
        <v>200</v>
      </c>
      <c r="H5" s="16"/>
    </row>
    <row r="6" spans="1:8" x14ac:dyDescent="0.25">
      <c r="A6" s="6" t="s">
        <v>28</v>
      </c>
      <c r="B6" s="27" t="s">
        <v>72</v>
      </c>
      <c r="C6" s="15">
        <v>5704.99</v>
      </c>
      <c r="D6" s="12" t="s">
        <v>199</v>
      </c>
      <c r="E6" s="48">
        <v>46091</v>
      </c>
      <c r="F6" s="13" t="s">
        <v>16</v>
      </c>
      <c r="G6" s="4" t="s">
        <v>200</v>
      </c>
      <c r="H6" s="16"/>
    </row>
    <row r="7" spans="1:8" x14ac:dyDescent="0.25">
      <c r="A7" s="6" t="s">
        <v>34</v>
      </c>
      <c r="B7" s="27" t="s">
        <v>198</v>
      </c>
      <c r="C7" s="15">
        <v>3789.36</v>
      </c>
      <c r="D7" s="4" t="s">
        <v>199</v>
      </c>
      <c r="E7" s="48">
        <v>46104</v>
      </c>
      <c r="F7" s="4" t="s">
        <v>16</v>
      </c>
      <c r="G7" s="4" t="s">
        <v>200</v>
      </c>
      <c r="H7" s="16"/>
    </row>
    <row r="8" spans="1:8" x14ac:dyDescent="0.25">
      <c r="A8" s="6" t="s">
        <v>31</v>
      </c>
      <c r="B8" s="27" t="s">
        <v>198</v>
      </c>
      <c r="C8" s="15">
        <v>3743.36</v>
      </c>
      <c r="D8" s="4" t="s">
        <v>199</v>
      </c>
      <c r="E8" s="48">
        <v>46104</v>
      </c>
      <c r="F8" s="4" t="s">
        <v>16</v>
      </c>
      <c r="G8" s="4" t="s">
        <v>200</v>
      </c>
      <c r="H8" s="16"/>
    </row>
    <row r="9" spans="1:8" x14ac:dyDescent="0.25">
      <c r="A9" s="6" t="s">
        <v>25</v>
      </c>
      <c r="B9" s="27" t="s">
        <v>72</v>
      </c>
      <c r="C9" s="12">
        <v>12282.43</v>
      </c>
      <c r="D9" s="4" t="s">
        <v>202</v>
      </c>
      <c r="E9" s="48">
        <v>46093</v>
      </c>
      <c r="F9" s="4" t="s">
        <v>16</v>
      </c>
      <c r="G9" s="4" t="s">
        <v>200</v>
      </c>
      <c r="H9" s="16"/>
    </row>
    <row r="10" spans="1:8" x14ac:dyDescent="0.25">
      <c r="A10" s="6" t="s">
        <v>53</v>
      </c>
      <c r="B10" s="27" t="s">
        <v>54</v>
      </c>
      <c r="C10" s="12">
        <v>7406.43</v>
      </c>
      <c r="D10" s="4" t="s">
        <v>202</v>
      </c>
      <c r="E10" s="48">
        <v>46132</v>
      </c>
      <c r="F10" s="4" t="s">
        <v>16</v>
      </c>
      <c r="G10" s="4" t="s">
        <v>200</v>
      </c>
      <c r="H10" s="16"/>
    </row>
    <row r="11" spans="1:8" x14ac:dyDescent="0.25">
      <c r="A11" s="6" t="s">
        <v>52</v>
      </c>
      <c r="B11" s="27" t="s">
        <v>50</v>
      </c>
      <c r="C11" s="12">
        <v>4126.63</v>
      </c>
      <c r="D11" s="4" t="s">
        <v>202</v>
      </c>
      <c r="E11" s="48">
        <v>46134</v>
      </c>
      <c r="F11" s="4" t="s">
        <v>16</v>
      </c>
      <c r="G11" s="4" t="s">
        <v>200</v>
      </c>
      <c r="H11" s="16"/>
    </row>
    <row r="12" spans="1:8" x14ac:dyDescent="0.25">
      <c r="A12" s="6" t="s">
        <v>55</v>
      </c>
      <c r="B12" s="27" t="s">
        <v>54</v>
      </c>
      <c r="C12" s="12">
        <v>7139.63</v>
      </c>
      <c r="D12" s="4" t="s">
        <v>202</v>
      </c>
      <c r="E12" s="48">
        <v>46134</v>
      </c>
      <c r="F12" s="4" t="s">
        <v>16</v>
      </c>
      <c r="G12" s="4" t="s">
        <v>200</v>
      </c>
      <c r="H12" s="16"/>
    </row>
    <row r="13" spans="1:8" x14ac:dyDescent="0.25">
      <c r="A13" s="6" t="s">
        <v>49</v>
      </c>
      <c r="B13" s="27" t="s">
        <v>50</v>
      </c>
      <c r="C13" s="12">
        <v>7084.63</v>
      </c>
      <c r="D13" s="4" t="s">
        <v>202</v>
      </c>
      <c r="E13" s="48">
        <v>46134</v>
      </c>
      <c r="F13" s="4" t="s">
        <v>16</v>
      </c>
      <c r="G13" s="4" t="s">
        <v>200</v>
      </c>
      <c r="H13" s="16"/>
    </row>
    <row r="14" spans="1:8" x14ac:dyDescent="0.25">
      <c r="A14" s="6" t="s">
        <v>203</v>
      </c>
      <c r="B14" s="27"/>
      <c r="C14" s="15">
        <v>172.18</v>
      </c>
      <c r="D14" s="4" t="s">
        <v>199</v>
      </c>
      <c r="E14" s="48">
        <v>46139</v>
      </c>
      <c r="F14" s="4" t="s">
        <v>70</v>
      </c>
      <c r="H14" s="19"/>
    </row>
    <row r="15" spans="1:8" x14ac:dyDescent="0.25">
      <c r="A15" s="6" t="s">
        <v>204</v>
      </c>
      <c r="B15" s="27"/>
      <c r="C15" s="12">
        <v>197.69</v>
      </c>
      <c r="D15" s="4" t="s">
        <v>202</v>
      </c>
      <c r="E15" s="48">
        <v>46139</v>
      </c>
      <c r="F15" s="4" t="s">
        <v>70</v>
      </c>
      <c r="H15" s="19"/>
    </row>
    <row r="16" spans="1:8" x14ac:dyDescent="0.25">
      <c r="A16" s="47" t="s">
        <v>71</v>
      </c>
      <c r="B16" s="27" t="s">
        <v>72</v>
      </c>
      <c r="C16" s="12">
        <v>6846.45</v>
      </c>
      <c r="D16" s="4" t="s">
        <v>202</v>
      </c>
      <c r="E16" s="48">
        <v>46140</v>
      </c>
      <c r="F16" s="4" t="s">
        <v>16</v>
      </c>
      <c r="G16" s="4" t="s">
        <v>200</v>
      </c>
      <c r="H16" s="16"/>
    </row>
    <row r="17" spans="1:9" x14ac:dyDescent="0.25">
      <c r="A17" s="47" t="s">
        <v>37</v>
      </c>
      <c r="B17" s="27" t="s">
        <v>72</v>
      </c>
      <c r="C17" s="12">
        <v>10914.43</v>
      </c>
      <c r="D17" s="4" t="s">
        <v>202</v>
      </c>
      <c r="E17" s="48">
        <v>46141</v>
      </c>
      <c r="F17" s="4" t="s">
        <v>16</v>
      </c>
      <c r="G17" s="4" t="s">
        <v>200</v>
      </c>
      <c r="H17" s="16"/>
    </row>
    <row r="18" spans="1:9" x14ac:dyDescent="0.25">
      <c r="A18" s="47" t="s">
        <v>58</v>
      </c>
      <c r="B18" s="27" t="s">
        <v>60</v>
      </c>
      <c r="C18" s="12">
        <v>3656.99</v>
      </c>
      <c r="D18" s="4" t="s">
        <v>202</v>
      </c>
      <c r="E18" s="48">
        <v>46141</v>
      </c>
      <c r="F18" s="4" t="s">
        <v>16</v>
      </c>
      <c r="G18" s="4" t="s">
        <v>200</v>
      </c>
      <c r="H18" s="16"/>
    </row>
    <row r="19" spans="1:9" x14ac:dyDescent="0.25">
      <c r="A19" s="47" t="s">
        <v>56</v>
      </c>
      <c r="B19" s="27" t="s">
        <v>60</v>
      </c>
      <c r="C19" s="12">
        <v>12519.43</v>
      </c>
      <c r="D19" s="4" t="s">
        <v>202</v>
      </c>
      <c r="E19" s="48">
        <v>46141</v>
      </c>
      <c r="F19" s="4" t="s">
        <v>16</v>
      </c>
      <c r="G19" s="4" t="s">
        <v>200</v>
      </c>
      <c r="H19" s="16"/>
      <c r="I19" s="4" t="s">
        <v>205</v>
      </c>
    </row>
    <row r="20" spans="1:9" ht="25.5" x14ac:dyDescent="0.25">
      <c r="A20" s="47" t="s">
        <v>56</v>
      </c>
      <c r="B20" s="29" t="s">
        <v>206</v>
      </c>
      <c r="C20" s="15">
        <v>2123.96</v>
      </c>
      <c r="D20" s="4" t="s">
        <v>199</v>
      </c>
      <c r="E20" s="48">
        <v>46142</v>
      </c>
      <c r="F20" s="4" t="s">
        <v>16</v>
      </c>
      <c r="G20" s="4" t="s">
        <v>200</v>
      </c>
      <c r="H20" s="16"/>
    </row>
    <row r="21" spans="1:9" x14ac:dyDescent="0.25">
      <c r="A21" s="47" t="s">
        <v>75</v>
      </c>
      <c r="B21" s="27" t="s">
        <v>198</v>
      </c>
      <c r="C21" s="12">
        <v>23504.87</v>
      </c>
      <c r="D21" s="4" t="s">
        <v>202</v>
      </c>
      <c r="E21" s="48">
        <v>46141</v>
      </c>
      <c r="F21" s="4" t="s">
        <v>16</v>
      </c>
      <c r="G21" s="4" t="s">
        <v>200</v>
      </c>
      <c r="H21" s="16"/>
    </row>
    <row r="22" spans="1:9" x14ac:dyDescent="0.25">
      <c r="A22" s="47" t="s">
        <v>67</v>
      </c>
      <c r="B22" s="27" t="s">
        <v>50</v>
      </c>
      <c r="C22" s="12">
        <v>3728.36</v>
      </c>
      <c r="D22" s="4" t="s">
        <v>202</v>
      </c>
      <c r="E22" s="48">
        <v>46141</v>
      </c>
      <c r="F22" s="4" t="s">
        <v>16</v>
      </c>
      <c r="G22" s="4" t="s">
        <v>200</v>
      </c>
      <c r="H22" s="16"/>
    </row>
    <row r="23" spans="1:9" x14ac:dyDescent="0.25">
      <c r="A23" s="47" t="s">
        <v>62</v>
      </c>
      <c r="B23" s="27" t="s">
        <v>50</v>
      </c>
      <c r="C23" s="12">
        <v>3728.36</v>
      </c>
      <c r="D23" s="4" t="s">
        <v>202</v>
      </c>
      <c r="E23" s="48">
        <v>46141</v>
      </c>
      <c r="F23" s="4" t="s">
        <v>16</v>
      </c>
      <c r="G23" s="4" t="s">
        <v>200</v>
      </c>
      <c r="H23" s="16"/>
    </row>
    <row r="24" spans="1:9" x14ac:dyDescent="0.25">
      <c r="A24" s="47" t="s">
        <v>65</v>
      </c>
      <c r="B24" s="27" t="s">
        <v>50</v>
      </c>
      <c r="C24" s="15">
        <v>3579.64</v>
      </c>
      <c r="D24" s="4" t="s">
        <v>199</v>
      </c>
      <c r="E24" s="48">
        <v>46141</v>
      </c>
      <c r="F24" s="4" t="s">
        <v>16</v>
      </c>
      <c r="G24" s="4" t="s">
        <v>200</v>
      </c>
      <c r="H24" s="16"/>
    </row>
    <row r="25" spans="1:9" x14ac:dyDescent="0.25">
      <c r="A25" s="47" t="s">
        <v>46</v>
      </c>
      <c r="B25" s="27" t="s">
        <v>47</v>
      </c>
      <c r="C25" s="12">
        <v>5966.21</v>
      </c>
      <c r="D25" s="4" t="s">
        <v>202</v>
      </c>
      <c r="E25" s="48">
        <v>46141</v>
      </c>
      <c r="F25" s="4" t="s">
        <v>16</v>
      </c>
      <c r="G25" s="4" t="s">
        <v>200</v>
      </c>
      <c r="H25" s="16"/>
      <c r="I25" s="4" t="s">
        <v>205</v>
      </c>
    </row>
    <row r="26" spans="1:9" x14ac:dyDescent="0.25">
      <c r="A26" s="47" t="s">
        <v>73</v>
      </c>
      <c r="B26" s="27" t="s">
        <v>74</v>
      </c>
      <c r="C26" s="15">
        <v>18831.71</v>
      </c>
      <c r="D26" s="4" t="s">
        <v>199</v>
      </c>
      <c r="E26" s="48">
        <v>46153</v>
      </c>
      <c r="F26" s="4" t="s">
        <v>16</v>
      </c>
      <c r="G26" s="4" t="s">
        <v>200</v>
      </c>
      <c r="H26" s="16"/>
    </row>
    <row r="27" spans="1:9" x14ac:dyDescent="0.25">
      <c r="A27" s="47" t="s">
        <v>38</v>
      </c>
      <c r="B27" s="27" t="s">
        <v>198</v>
      </c>
      <c r="C27" s="12">
        <v>18236.43</v>
      </c>
      <c r="D27" s="4" t="s">
        <v>202</v>
      </c>
      <c r="E27" s="48">
        <v>46160</v>
      </c>
      <c r="F27" s="4" t="s">
        <v>16</v>
      </c>
      <c r="G27" s="4" t="s">
        <v>200</v>
      </c>
      <c r="H27" s="16"/>
    </row>
    <row r="28" spans="1:9" x14ac:dyDescent="0.25">
      <c r="A28" s="47" t="s">
        <v>59</v>
      </c>
      <c r="B28" s="27" t="s">
        <v>60</v>
      </c>
      <c r="C28" s="15">
        <v>8157.31</v>
      </c>
      <c r="D28" s="4" t="s">
        <v>199</v>
      </c>
      <c r="E28" s="48">
        <v>46162</v>
      </c>
      <c r="F28" s="4" t="s">
        <v>70</v>
      </c>
      <c r="H28" s="19"/>
    </row>
    <row r="29" spans="1:9" x14ac:dyDescent="0.25">
      <c r="A29" s="47" t="s">
        <v>68</v>
      </c>
      <c r="B29" s="27" t="s">
        <v>69</v>
      </c>
      <c r="C29" s="12">
        <v>1745.3</v>
      </c>
      <c r="D29" s="4" t="s">
        <v>202</v>
      </c>
      <c r="E29" s="48">
        <v>46162</v>
      </c>
      <c r="F29" s="4" t="s">
        <v>70</v>
      </c>
      <c r="H29" s="19"/>
      <c r="I29" s="4"/>
    </row>
    <row r="30" spans="1:9" x14ac:dyDescent="0.25">
      <c r="A30" s="47" t="s">
        <v>77</v>
      </c>
      <c r="B30" s="27" t="s">
        <v>201</v>
      </c>
      <c r="C30" s="12">
        <v>8754.26</v>
      </c>
      <c r="D30" s="4" t="s">
        <v>202</v>
      </c>
      <c r="E30" s="48">
        <v>46181</v>
      </c>
      <c r="F30" s="4" t="s">
        <v>16</v>
      </c>
      <c r="G30" s="4" t="s">
        <v>200</v>
      </c>
      <c r="H30" s="16"/>
      <c r="I30" s="4"/>
    </row>
    <row r="31" spans="1:9" x14ac:dyDescent="0.25">
      <c r="A31" s="91" t="s">
        <v>78</v>
      </c>
      <c r="B31" s="27" t="s">
        <v>79</v>
      </c>
      <c r="C31" s="95">
        <v>7461.96</v>
      </c>
      <c r="D31" s="81" t="s">
        <v>202</v>
      </c>
      <c r="E31" s="93">
        <v>46179</v>
      </c>
      <c r="F31" s="81" t="s">
        <v>16</v>
      </c>
      <c r="G31" s="81" t="s">
        <v>200</v>
      </c>
      <c r="H31" s="94"/>
    </row>
    <row r="32" spans="1:9" x14ac:dyDescent="0.25">
      <c r="A32" s="91"/>
      <c r="B32" s="27" t="s">
        <v>81</v>
      </c>
      <c r="C32" s="95"/>
      <c r="D32" s="81"/>
      <c r="E32" s="93"/>
      <c r="F32" s="81"/>
      <c r="G32" s="81"/>
      <c r="H32" s="94"/>
    </row>
    <row r="33" spans="1:9" x14ac:dyDescent="0.25">
      <c r="A33" s="47" t="s">
        <v>88</v>
      </c>
      <c r="B33" s="27" t="s">
        <v>89</v>
      </c>
      <c r="C33" s="12">
        <v>11328.43</v>
      </c>
      <c r="D33" s="4" t="s">
        <v>202</v>
      </c>
      <c r="E33" s="48">
        <v>46195</v>
      </c>
      <c r="F33" s="4" t="s">
        <v>16</v>
      </c>
      <c r="G33" s="4" t="s">
        <v>200</v>
      </c>
      <c r="H33" s="16"/>
      <c r="I33" s="4"/>
    </row>
    <row r="34" spans="1:9" ht="13.5" customHeight="1" x14ac:dyDescent="0.25">
      <c r="A34" s="47" t="s">
        <v>41</v>
      </c>
      <c r="B34" s="27" t="s">
        <v>42</v>
      </c>
      <c r="C34" s="12">
        <v>14239.43</v>
      </c>
      <c r="D34" s="4" t="s">
        <v>202</v>
      </c>
      <c r="E34" s="48">
        <v>46203</v>
      </c>
      <c r="F34" s="4" t="s">
        <v>16</v>
      </c>
      <c r="G34" s="4" t="s">
        <v>200</v>
      </c>
      <c r="H34" s="16"/>
      <c r="I34" s="4"/>
    </row>
    <row r="35" spans="1:9" x14ac:dyDescent="0.25">
      <c r="A35" s="91" t="s">
        <v>82</v>
      </c>
      <c r="B35" s="27" t="s">
        <v>83</v>
      </c>
      <c r="C35" s="95">
        <v>16446.43</v>
      </c>
      <c r="D35" s="81" t="s">
        <v>202</v>
      </c>
      <c r="E35" s="93">
        <v>46210</v>
      </c>
      <c r="F35" s="81" t="s">
        <v>16</v>
      </c>
      <c r="G35" s="81"/>
      <c r="H35" s="96"/>
    </row>
    <row r="36" spans="1:9" x14ac:dyDescent="0.25">
      <c r="A36" s="91"/>
      <c r="B36" s="27" t="s">
        <v>69</v>
      </c>
      <c r="C36" s="95"/>
      <c r="D36" s="81"/>
      <c r="E36" s="81"/>
      <c r="F36" s="81"/>
      <c r="G36" s="81"/>
      <c r="H36" s="96"/>
    </row>
    <row r="37" spans="1:9" ht="13.5" customHeight="1" x14ac:dyDescent="0.25">
      <c r="A37" s="47" t="s">
        <v>43</v>
      </c>
      <c r="B37" s="27" t="s">
        <v>198</v>
      </c>
      <c r="C37" s="12">
        <v>40710.43</v>
      </c>
      <c r="D37" s="4" t="s">
        <v>202</v>
      </c>
      <c r="E37" s="48">
        <v>46210</v>
      </c>
      <c r="F37" s="4" t="s">
        <v>16</v>
      </c>
      <c r="H37" s="19"/>
      <c r="I37" s="4"/>
    </row>
    <row r="38" spans="1:9" ht="13.5" customHeight="1" x14ac:dyDescent="0.25">
      <c r="A38" s="47" t="s">
        <v>90</v>
      </c>
      <c r="B38" s="27" t="s">
        <v>54</v>
      </c>
      <c r="C38" s="12">
        <v>15941.43</v>
      </c>
      <c r="D38" s="4" t="s">
        <v>202</v>
      </c>
      <c r="E38" s="48">
        <v>46211</v>
      </c>
      <c r="F38" s="4" t="s">
        <v>16</v>
      </c>
      <c r="H38" s="19"/>
      <c r="I38" s="4"/>
    </row>
    <row r="39" spans="1:9" ht="13.5" customHeight="1" x14ac:dyDescent="0.25">
      <c r="A39" s="47" t="s">
        <v>92</v>
      </c>
      <c r="B39" s="27" t="s">
        <v>69</v>
      </c>
      <c r="C39" s="12">
        <v>13432.96</v>
      </c>
      <c r="D39" s="4" t="s">
        <v>202</v>
      </c>
      <c r="E39" s="48">
        <v>46211</v>
      </c>
      <c r="F39" s="4" t="s">
        <v>16</v>
      </c>
      <c r="H39" s="19"/>
      <c r="I39" s="4"/>
    </row>
    <row r="40" spans="1:9" ht="13.5" customHeight="1" x14ac:dyDescent="0.25">
      <c r="A40" s="47" t="s">
        <v>84</v>
      </c>
      <c r="B40" s="27" t="s">
        <v>72</v>
      </c>
      <c r="C40" s="12">
        <v>5175.99</v>
      </c>
      <c r="D40" s="4" t="s">
        <v>202</v>
      </c>
      <c r="E40" s="48">
        <v>46211</v>
      </c>
      <c r="F40" s="4" t="s">
        <v>16</v>
      </c>
      <c r="H40" s="19"/>
      <c r="I40" s="4"/>
    </row>
    <row r="41" spans="1:9" x14ac:dyDescent="0.25">
      <c r="A41" s="47" t="s">
        <v>44</v>
      </c>
      <c r="B41" s="4" t="s">
        <v>45</v>
      </c>
      <c r="C41" s="12">
        <v>5755.54</v>
      </c>
      <c r="D41" s="4" t="s">
        <v>202</v>
      </c>
      <c r="E41" s="48">
        <v>46221</v>
      </c>
      <c r="F41" s="4" t="s">
        <v>16</v>
      </c>
      <c r="H41" s="19"/>
    </row>
    <row r="42" spans="1:9" x14ac:dyDescent="0.25">
      <c r="A42" s="47" t="s">
        <v>99</v>
      </c>
      <c r="B42" s="4" t="s">
        <v>198</v>
      </c>
      <c r="C42" s="12">
        <v>19119.990000000002</v>
      </c>
      <c r="D42" s="4" t="s">
        <v>202</v>
      </c>
      <c r="E42" s="48">
        <v>46241</v>
      </c>
      <c r="F42" s="4" t="s">
        <v>16</v>
      </c>
      <c r="H42" s="19"/>
    </row>
    <row r="43" spans="1:9" x14ac:dyDescent="0.25">
      <c r="A43" s="47" t="s">
        <v>211</v>
      </c>
      <c r="B43" s="4" t="s">
        <v>198</v>
      </c>
      <c r="C43" s="12">
        <v>26947.54</v>
      </c>
      <c r="D43" s="4" t="s">
        <v>202</v>
      </c>
      <c r="E43" s="48">
        <v>46244</v>
      </c>
      <c r="F43" s="4" t="s">
        <v>16</v>
      </c>
      <c r="H43" s="19"/>
    </row>
    <row r="44" spans="1:9" x14ac:dyDescent="0.25">
      <c r="A44" s="47" t="s">
        <v>207</v>
      </c>
      <c r="B44" s="4" t="s">
        <v>198</v>
      </c>
      <c r="C44" s="12">
        <v>5148.54</v>
      </c>
      <c r="D44" s="4" t="s">
        <v>202</v>
      </c>
      <c r="E44" s="48">
        <v>46245</v>
      </c>
      <c r="F44" s="4" t="s">
        <v>16</v>
      </c>
      <c r="H44" s="19"/>
    </row>
    <row r="45" spans="1:9" x14ac:dyDescent="0.25">
      <c r="A45" s="47" t="s">
        <v>95</v>
      </c>
      <c r="B45" s="4" t="s">
        <v>50</v>
      </c>
      <c r="C45" s="12">
        <v>11537.99</v>
      </c>
      <c r="D45" s="4" t="s">
        <v>202</v>
      </c>
      <c r="E45" s="48">
        <v>46251</v>
      </c>
      <c r="F45" s="4" t="s">
        <v>16</v>
      </c>
      <c r="H45" s="19"/>
    </row>
    <row r="46" spans="1:9" x14ac:dyDescent="0.25">
      <c r="A46" s="47" t="s">
        <v>209</v>
      </c>
      <c r="B46" s="4" t="s">
        <v>198</v>
      </c>
      <c r="C46" s="12">
        <v>2835.54</v>
      </c>
      <c r="D46" s="4" t="s">
        <v>202</v>
      </c>
      <c r="E46" s="48">
        <v>46252</v>
      </c>
      <c r="F46" s="4" t="s">
        <v>16</v>
      </c>
      <c r="H46" s="19"/>
    </row>
    <row r="47" spans="1:9" x14ac:dyDescent="0.25">
      <c r="A47" s="91" t="s">
        <v>96</v>
      </c>
      <c r="B47" s="27" t="s">
        <v>97</v>
      </c>
      <c r="C47" s="92">
        <v>12083.74</v>
      </c>
      <c r="D47" s="81" t="s">
        <v>202</v>
      </c>
      <c r="E47" s="93">
        <v>46252</v>
      </c>
      <c r="F47" s="81" t="s">
        <v>16</v>
      </c>
      <c r="G47" s="81"/>
      <c r="H47" s="90"/>
    </row>
    <row r="48" spans="1:9" x14ac:dyDescent="0.25">
      <c r="A48" s="91"/>
      <c r="B48" s="27" t="s">
        <v>98</v>
      </c>
      <c r="C48" s="92"/>
      <c r="D48" s="81"/>
      <c r="E48" s="93"/>
      <c r="F48" s="81"/>
      <c r="G48" s="81"/>
      <c r="H48" s="90"/>
    </row>
  </sheetData>
  <autoFilter ref="A2:H48" xr:uid="{00000000-0009-0000-0000-000001000000}"/>
  <mergeCells count="21">
    <mergeCell ref="H35:H36"/>
    <mergeCell ref="C35:C36"/>
    <mergeCell ref="A35:A36"/>
    <mergeCell ref="D35:D36"/>
    <mergeCell ref="E35:E36"/>
    <mergeCell ref="F35:F36"/>
    <mergeCell ref="G35:G36"/>
    <mergeCell ref="H31:H32"/>
    <mergeCell ref="A31:A32"/>
    <mergeCell ref="C31:C32"/>
    <mergeCell ref="D31:D32"/>
    <mergeCell ref="E31:E32"/>
    <mergeCell ref="F31:F32"/>
    <mergeCell ref="G31:G32"/>
    <mergeCell ref="H47:H48"/>
    <mergeCell ref="G47:G48"/>
    <mergeCell ref="A47:A48"/>
    <mergeCell ref="C47:C48"/>
    <mergeCell ref="D47:D48"/>
    <mergeCell ref="E47:E48"/>
    <mergeCell ref="F47:F4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2026</vt:lpstr>
      <vt:lpstr>Hoja1</vt:lpstr>
      <vt:lpstr>Cuenta aduanera</vt:lpstr>
      <vt:lpstr>Cuentas de 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2026-01-06T21:27:10Z</dcterms:created>
  <dcterms:modified xsi:type="dcterms:W3CDTF">2026-08-26T23:23:44Z</dcterms:modified>
  <cp:category/>
  <cp:contentStatus/>
</cp:coreProperties>
</file>